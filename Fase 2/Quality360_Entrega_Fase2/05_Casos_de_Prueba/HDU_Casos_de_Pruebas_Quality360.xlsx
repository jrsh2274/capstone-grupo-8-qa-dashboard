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1498DDDA-06F1-43B6-B5D9-D7F4F4F6B5E1}" xr6:coauthVersionLast="47" xr6:coauthVersionMax="47" xr10:uidLastSave="{00000000-0000-0000-0000-000000000000}"/>
  <bookViews>
    <workbookView xWindow="-108" yWindow="-108" windowWidth="23256" windowHeight="12456" xr2:uid="{00000000-000D-0000-FFFF-FFFF00000000}"/>
  </bookViews>
  <sheets>
    <sheet name="Historias de Usuario" sheetId="1" r:id="rId1"/>
    <sheet name="Épicas" sheetId="2" r:id="rId2"/>
    <sheet name="Relación Front-Back" sheetId="3" r:id="rId3"/>
    <sheet name="Instructivo" sheetId="4" r:id="rId4"/>
    <sheet name="CDP-Sprint 1" sheetId="5" r:id="rId5"/>
    <sheet name="CDP-Sprint 2" sheetId="6" r:id="rId6"/>
    <sheet name="CDP-Sprint 3" sheetId="7" r:id="rId7"/>
    <sheet name="Resumen Sprints" sheetId="8" r:id="rId8"/>
  </sheets>
  <definedNames>
    <definedName name="_xlnm._FilterDatabase" localSheetId="0" hidden="1">'Historias de Usuario'!$B$1:$K$84</definedName>
    <definedName name="_xlnm.Print_Titles" localSheetId="0">'Historias de Usuario'!$4:$5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8" l="1"/>
  <c r="G7" i="8"/>
  <c r="F7" i="8"/>
  <c r="E7" i="8"/>
  <c r="H7" i="8" s="1"/>
  <c r="G6" i="8"/>
  <c r="F6" i="8"/>
  <c r="E6" i="8"/>
  <c r="H6" i="8" s="1"/>
  <c r="G5" i="8"/>
  <c r="G8" i="8" s="1"/>
  <c r="F5" i="8"/>
  <c r="E5" i="8"/>
  <c r="E8" i="8" s="1"/>
  <c r="F10" i="2"/>
  <c r="E10" i="2"/>
  <c r="G10" i="2" s="1"/>
  <c r="F9" i="2"/>
  <c r="E9" i="2"/>
  <c r="G9" i="2" s="1"/>
  <c r="F8" i="2"/>
  <c r="E8" i="2"/>
  <c r="G8" i="2" s="1"/>
  <c r="F7" i="2"/>
  <c r="E7" i="2"/>
  <c r="G7" i="2" s="1"/>
  <c r="F6" i="2"/>
  <c r="E6" i="2"/>
  <c r="G6" i="2" s="1"/>
  <c r="F5" i="2"/>
  <c r="F11" i="2" s="1"/>
  <c r="E5" i="2"/>
  <c r="F8" i="8" l="1"/>
  <c r="H8" i="8" s="1"/>
  <c r="H5" i="8"/>
  <c r="E11" i="2"/>
  <c r="G5" i="2"/>
  <c r="G11" i="2" s="1"/>
</calcChain>
</file>

<file path=xl/sharedStrings.xml><?xml version="1.0" encoding="utf-8"?>
<sst xmlns="http://schemas.openxmlformats.org/spreadsheetml/2006/main" count="2711" uniqueCount="1624">
  <si>
    <t>Desarrollo ágil: Historias de usuario y criterios de aceptación</t>
  </si>
  <si>
    <t>Quality360 · Dashboard de certificación QA de historias de usuario · Capstone DuocUC — Grupo 8</t>
  </si>
  <si>
    <t>Leyenda: ID con prefijo F = HDU de Frontend · B = HDU de Backend. Cada HDU se desglosa en escenarios (criterios de aceptación) con formato Contexto → Evento → Resultado.</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</si>
  <si>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</si>
  <si>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</si>
  <si>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</si>
  <si>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</si>
  <si>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</si>
  <si>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</si>
  <si>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</si>
  <si>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</si>
  <si>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</si>
  <si>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</si>
  <si>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</si>
  <si>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Epica</t>
  </si>
  <si>
    <t>ÉPICA 1 — ACCESO, PORTALES Y ORGANIZACIÓN QA   ·   Autenticación, autorización por rol y ámbito, portales de inicio y administración de usuarios, roles y supervisión.</t>
  </si>
  <si>
    <t>E1-F01</t>
  </si>
  <si>
    <t>Usuario de Quality360</t>
  </si>
  <si>
    <t>Como Usuario de Quality360, quiero ingresar al portal de inicio de sesión e introducir mis credenciales</t>
  </si>
  <si>
    <t>Para acceder a la plataforma de forma segura</t>
  </si>
  <si>
    <t>Formulario de ingreso</t>
  </si>
  <si>
    <t>El usuario accede a la pantalla de inicio de sesión.</t>
  </si>
  <si>
    <t>Visualiza el formulario.</t>
  </si>
  <si>
    <t>Se muestran los campos de correo y contraseña, con opción de mostrar u ocultar la contraseña.</t>
  </si>
  <si>
    <t>Campos obligatorios</t>
  </si>
  <si>
    <t>El usuario deja el correo o la contraseña en blanco.</t>
  </si>
  <si>
    <t>Presiona Ingresar.</t>
  </si>
  <si>
    <t>El sistema valida los campos obligatorios y marca los que faltan sin enviar la solicitud.</t>
  </si>
  <si>
    <t>Credenciales incorrectas</t>
  </si>
  <si>
    <t>El usuario ingresa credenciales válidas en formato pero incorrectas.</t>
  </si>
  <si>
    <t>Se indica que el ingreso está en proceso y luego se presenta un mensaje genérico de credenciales incorrectas, sin revelar si el correo existe.</t>
  </si>
  <si>
    <t>E1-F02</t>
  </si>
  <si>
    <t>Quality Engineer (QE)</t>
  </si>
  <si>
    <t>Como Quality Engineer (QE), quiero ingresar al portal del QE después de iniciar sesión</t>
  </si>
  <si>
    <t>Para acceder a las funciones de supervisión de mi equipo</t>
  </si>
  <si>
    <t>Redirección al portal QE</t>
  </si>
  <si>
    <t>El usuario tiene rol QE y credenciales válidas.</t>
  </si>
  <si>
    <t>Inicia sesión.</t>
  </si>
  <si>
    <t>Es dirigido a su portal, que muestra su identidad y la navegación de supervisión.</t>
  </si>
  <si>
    <t>Acceso a ruta de otro rol</t>
  </si>
  <si>
    <t>El QE está autenticado.</t>
  </si>
  <si>
    <t>Intenta abrir una ruta administrativa o de analista.</t>
  </si>
  <si>
    <t>Se presenta acceso denegado o se redirige al portal autorizado.</t>
  </si>
  <si>
    <t>Navegación disponible</t>
  </si>
  <si>
    <t>El QE está en su portal.</t>
  </si>
  <si>
    <t>Revisa el menú.</t>
  </si>
  <si>
    <t>Solo aparecen opciones de supervisión (equipo, historias supervisadas, perfil, cerrar sesión).</t>
  </si>
  <si>
    <t>E1-F03</t>
  </si>
  <si>
    <t>Como Quality Engineer (QE), quiero ver mi panel de inicio con un resumen de mis analistas e historias bajo supervisión</t>
  </si>
  <si>
    <t>Para identificar mi ámbito de trabajo y acceder a su seguimiento</t>
  </si>
  <si>
    <t>Resumen con datos</t>
  </si>
  <si>
    <t>El QE tiene analistas e historias asignadas.</t>
  </si>
  <si>
    <t>Ingresa al panel de inicio.</t>
  </si>
  <si>
    <t>Se muestra la cantidad de analistas supervisados y de HDU bajo supervisión, con acceso a ambos listados.</t>
  </si>
  <si>
    <t>Sin datos</t>
  </si>
  <si>
    <t>El QE no tiene analistas ni historias asignadas.</t>
  </si>
  <si>
    <t>Se informa explícitamente la ausencia de datos, sin mostrar cifras ficticias.</t>
  </si>
  <si>
    <t>Error de consulta</t>
  </si>
  <si>
    <t>El servicio de resumen no responde.</t>
  </si>
  <si>
    <t>Se diferencia el estado de error del estado de carga y de la ausencia de datos, con opción de reintentar.</t>
  </si>
  <si>
    <t>E1-F04</t>
  </si>
  <si>
    <t>Como Quality Engineer (QE), quiero consultar el listado de analistas QA que superviso</t>
  </si>
  <si>
    <t>Para reconocer los integrantes de mi equipo</t>
  </si>
  <si>
    <t>Listado vigente</t>
  </si>
  <si>
    <t>El QE tiene relaciones de supervisión vigentes.</t>
  </si>
  <si>
    <t>Abre la sección de analistas.</t>
  </si>
  <si>
    <t>Se muestran únicamente los analistas con supervisión vigente, identificados por nombre y correo.</t>
  </si>
  <si>
    <t>Relaciones finalizadas</t>
  </si>
  <si>
    <t>Un analista fue reasignado a otro QE.</t>
  </si>
  <si>
    <t>El analista reasignado no aparece en el listado.</t>
  </si>
  <si>
    <t>Sin analistas</t>
  </si>
  <si>
    <t>El QE no tiene analistas asignados.</t>
  </si>
  <si>
    <t>Se informa que no hay analistas asignados.</t>
  </si>
  <si>
    <t>E1-F05</t>
  </si>
  <si>
    <t>Analista QA</t>
  </si>
  <si>
    <t>Como Analista QA, quiero ingresar al portal del QA después de iniciar sesión</t>
  </si>
  <si>
    <t>Para acceder a las funciones correspondientes a mi trabajo de certificación</t>
  </si>
  <si>
    <t>Redirección al portal QA</t>
  </si>
  <si>
    <t>El usuario tiene rol Analista QA.</t>
  </si>
  <si>
    <t>Es dirigido a su portal, con su identidad y la navegación correspondiente.</t>
  </si>
  <si>
    <t>Sin funciones administrativas</t>
  </si>
  <si>
    <t>El analista está en su portal.</t>
  </si>
  <si>
    <t>Revisa el menú y las rutas.</t>
  </si>
  <si>
    <t>No se presentan funciones administrativas ni de supervisión.</t>
  </si>
  <si>
    <t>Ruta no autorizada</t>
  </si>
  <si>
    <t>El analista está autenticado.</t>
  </si>
  <si>
    <t>Intenta abrir una ruta de QE o Administrador.</t>
  </si>
  <si>
    <t>Se presenta acceso denegado o se redirige a su portal.</t>
  </si>
  <si>
    <t>E1-F06</t>
  </si>
  <si>
    <t>Como Analista QA, quiero ver mi panel de inicio con mi QE supervisor y un resumen de mis historias asignadas</t>
  </si>
  <si>
    <t>Para identificar mis responsabilidades y a quién acudir ante un impedimento</t>
  </si>
  <si>
    <t>Panel con supervisor e historias</t>
  </si>
  <si>
    <t>El analista tiene QE vigente e historias asignadas.</t>
  </si>
  <si>
    <t>Se muestra el nombre del QE supervisor y la cantidad de HDU asignadas, con acceso a sus historias.</t>
  </si>
  <si>
    <t>Sin supervisor</t>
  </si>
  <si>
    <t>El analista no tiene QE vigente.</t>
  </si>
  <si>
    <t>Se informa que no tiene supervisor asignado.</t>
  </si>
  <si>
    <t>Conteo no disponible</t>
  </si>
  <si>
    <t>La capacidad de HDU (E2) aún no está habilitada.</t>
  </si>
  <si>
    <t>El portal indica que el conteo de historias todavía no está disponible.</t>
  </si>
  <si>
    <t>E1-F07</t>
  </si>
  <si>
    <t>Administrador</t>
  </si>
  <si>
    <t>Como Administrador, quiero ingresar al portal de administración después de iniciar sesión</t>
  </si>
  <si>
    <t>Para acceder a la configuración de usuarios y organización QA</t>
  </si>
  <si>
    <t>Redirección al portal administrativo</t>
  </si>
  <si>
    <t>El usuario tiene rol Administrador.</t>
  </si>
  <si>
    <t>Es dirigido a su portal con los accesos administrativos habilitados.</t>
  </si>
  <si>
    <t>Accesos habilitados</t>
  </si>
  <si>
    <t>El Administrador está en su portal.</t>
  </si>
  <si>
    <t>Revisa la navegación.</t>
  </si>
  <si>
    <t>Se presentan accesos a usuarios, roles y supervisión.</t>
  </si>
  <si>
    <t>Sesión expirada</t>
  </si>
  <si>
    <t>La sesión del Administrador expiró.</t>
  </si>
  <si>
    <t>Intenta abrir el portal.</t>
  </si>
  <si>
    <t>Se le solicita iniciar sesión nuevamente.</t>
  </si>
  <si>
    <t>E1-F08</t>
  </si>
  <si>
    <t>Como Administrador, quiero ver mi panel de inicio con accesos a usuarios, roles y relaciones de supervisión</t>
  </si>
  <si>
    <t>Para administrar la estructura de acceso de la plataforma</t>
  </si>
  <si>
    <t>Panel administrativo</t>
  </si>
  <si>
    <t>El Administrador ingresa a su panel.</t>
  </si>
  <si>
    <t>Visualiza el panel.</t>
  </si>
  <si>
    <t>Se muestran accesos a gestión de usuarios, roles y supervisión.</t>
  </si>
  <si>
    <t>Error de carga</t>
  </si>
  <si>
    <t>El servicio administrativo no responde.</t>
  </si>
  <si>
    <t>Ingresa al panel.</t>
  </si>
  <si>
    <t>Se informa el error de carga sin mostrar cifras ficticias.</t>
  </si>
  <si>
    <t>Navegación directa</t>
  </si>
  <si>
    <t>El Administrador está en el panel.</t>
  </si>
  <si>
    <t>Selecciona un acceso.</t>
  </si>
  <si>
    <t>Se abre la pantalla correspondiente.</t>
  </si>
  <si>
    <t>E1-F09</t>
  </si>
  <si>
    <t>Como Administrador, quiero utilizar una pantalla para registrar usuarios, actualizar sus datos, asignar su rol y activar o desactivar su acceso</t>
  </si>
  <si>
    <t>Para mantener vigente el acceso de los participantes</t>
  </si>
  <si>
    <t>Listar y buscar</t>
  </si>
  <si>
    <t>Existen usuarios registrados.</t>
  </si>
  <si>
    <t>Abre la pantalla de usuarios y busca por nombre o correo.</t>
  </si>
  <si>
    <t>Se listan los usuarios y el buscador filtra los resultados.</t>
  </si>
  <si>
    <t>Validación de datos</t>
  </si>
  <si>
    <t>El Administrador registra un usuario con datos incompletos.</t>
  </si>
  <si>
    <t>Guarda el formulario.</t>
  </si>
  <si>
    <t>Se validan los datos obligatorios y se indican los errores.</t>
  </si>
  <si>
    <t>Confirmación de cambios sensibles</t>
  </si>
  <si>
    <t>El Administrador desactiva un usuario o cambia su rol.</t>
  </si>
  <si>
    <t>Confirma la operación.</t>
  </si>
  <si>
    <t>Se solicita confirmación previa y se muestra el resultado de la operación.</t>
  </si>
  <si>
    <t>E1-F10</t>
  </si>
  <si>
    <t>Como Administrador, quiero utilizar una pantalla para asignar o cambiar el QE supervisor de un analista QA</t>
  </si>
  <si>
    <t>Para mantener actualizada la organización del equipo</t>
  </si>
  <si>
    <t>Selección de analista y QE</t>
  </si>
  <si>
    <t>Existen analistas y QE activos.</t>
  </si>
  <si>
    <t>Selecciona un analista y un QE.</t>
  </si>
  <si>
    <t>Se muestra la relación vigente del analista antes de confirmar.</t>
  </si>
  <si>
    <t>Motivo del cambio</t>
  </si>
  <si>
    <t>El analista ya tiene un QE vigente.</t>
  </si>
  <si>
    <t>Asigna un nuevo QE.</t>
  </si>
  <si>
    <t>Se solicita el motivo del cambio antes de guardar.</t>
  </si>
  <si>
    <t>Historial de supervisión</t>
  </si>
  <si>
    <t>El analista ha tenido varios supervisores.</t>
  </si>
  <si>
    <t>Consulta el historial.</t>
  </si>
  <si>
    <t>Se muestran las relaciones anteriores con fechas y motivos.</t>
  </si>
  <si>
    <t>E1-F11</t>
  </si>
  <si>
    <t>Usuario autenticado</t>
  </si>
  <si>
    <t>Como Usuario autenticado, quiero consultar mi nombre, correo y rol en la plataforma</t>
  </si>
  <si>
    <t>Para verificar con qué identidad y permisos estoy trabajando</t>
  </si>
  <si>
    <t>Datos del perfil</t>
  </si>
  <si>
    <t>El usuario está autenticado.</t>
  </si>
  <si>
    <t>Abre su perfil.</t>
  </si>
  <si>
    <t>Se muestran su nombre, correo y rol.</t>
  </si>
  <si>
    <t>Rol de solo lectura</t>
  </si>
  <si>
    <t>El usuario está en su perfil.</t>
  </si>
  <si>
    <t>Intenta modificar el rol.</t>
  </si>
  <si>
    <t>El rol no es editable desde el perfil personal.</t>
  </si>
  <si>
    <t>Datos actualizados</t>
  </si>
  <si>
    <t>El Administrador cambió el rol del usuario.</t>
  </si>
  <si>
    <t>El usuario vuelve a abrir su perfil.</t>
  </si>
  <si>
    <t>Se refleja el rol vigente.</t>
  </si>
  <si>
    <t>E1-F12</t>
  </si>
  <si>
    <t>Como Usuario autenticado, quiero cerrar sesión desde mi portal</t>
  </si>
  <si>
    <t>Para finalizar mi acceso a la plataforma</t>
  </si>
  <si>
    <t>Opción visible</t>
  </si>
  <si>
    <t>El usuario está en su portal.</t>
  </si>
  <si>
    <t>Busca la opción de salir.</t>
  </si>
  <si>
    <t>La opción de cerrar sesión es visible desde cualquier pantalla.</t>
  </si>
  <si>
    <t>Cierre efectivo</t>
  </si>
  <si>
    <t>Presiona Cerrar sesión.</t>
  </si>
  <si>
    <t>Se muestra la pantalla de inicio de sesión.</t>
  </si>
  <si>
    <t>Navegación hacia atrás</t>
  </si>
  <si>
    <t>El usuario cerró sesión.</t>
  </si>
  <si>
    <t>Presiona volver atrás en el navegador.</t>
  </si>
  <si>
    <t>No se puede consultar información protegida sin autenticarse nuevamente.</t>
  </si>
  <si>
    <t>E1-F13</t>
  </si>
  <si>
    <t>Como Usuario de Quality360, quiero recuperar mi acceso cuando olvido mi contraseña</t>
  </si>
  <si>
    <t>Para volver a ingresar al portal sin depender del administrador</t>
  </si>
  <si>
    <t>Solicitud del enlace</t>
  </si>
  <si>
    <t>El usuario está en la pantalla de inicio de sesión.</t>
  </si>
  <si>
    <t>Selecciona «¿Olvidaste tu contraseña?», ingresa su correo y presiona Enviar enlace.</t>
  </si>
  <si>
    <t>Se valida que el correo sea obligatorio y tenga formato válido, y se muestra siempre la misma confirmación, sin revelar si el correo está registrado.</t>
  </si>
  <si>
    <t>Nueva contraseña</t>
  </si>
  <si>
    <t>El usuario abre el enlace recibido por correo.</t>
  </si>
  <si>
    <t>Ingresa y repite la nueva contraseña y presiona Guardar.</t>
  </si>
  <si>
    <t>Se exige un mínimo de 8 caracteres y que ambas coincidan. Al guardar, se cierra la sesión de recuperación y el usuario vuelve al inicio de sesión con un aviso de contraseña actualizada.</t>
  </si>
  <si>
    <t>Enlace inválido o ya usado</t>
  </si>
  <si>
    <t>El enlace expiró o ya fue utilizado.</t>
  </si>
  <si>
    <t>El usuario lo abre.</t>
  </si>
  <si>
    <t>Se informa que el enlace no es válido y se ofrece solicitar uno nuevo, sin dar acceso al portal.</t>
  </si>
  <si>
    <t>E1-B01</t>
  </si>
  <si>
    <t>Usuario registrado</t>
  </si>
  <si>
    <t>Como Usuario registrado, quiero que el sistema valide mis credenciales y mi acceso activo</t>
  </si>
  <si>
    <t>Para iniciar una sesión segura</t>
  </si>
  <si>
    <t>Credenciales válidas</t>
  </si>
  <si>
    <t>El usuario está activo y registrado en el proveedor de autenticación.</t>
  </si>
  <si>
    <t>Envía credenciales correctas.</t>
  </si>
  <si>
    <t>Se valida mediante el proveedor y se crea una sesión.</t>
  </si>
  <si>
    <t>Usuario inactivo</t>
  </si>
  <si>
    <t>El usuario fue desactivado.</t>
  </si>
  <si>
    <t>Se rechaza el acceso sin revelar si el correo existe.</t>
  </si>
  <si>
    <t>Intentos repetidos</t>
  </si>
  <si>
    <t>Se registran múltiples intentos fallidos.</t>
  </si>
  <si>
    <t>Envía un nuevo intento.</t>
  </si>
  <si>
    <t>Se aplica protección frente a intentos repetidos de ingreso.</t>
  </si>
  <si>
    <t>E1-B02</t>
  </si>
  <si>
    <t>Como Usuario autenticado, quiero que el sistema habilite únicamente las operaciones y los datos que me corresponden</t>
  </si>
  <si>
    <t>Para trabajar dentro de mis responsabilidades</t>
  </si>
  <si>
    <t>Solicitud sin autenticación</t>
  </si>
  <si>
    <t>No hay sesión válida.</t>
  </si>
  <si>
    <t>Se invoca una operación protegida.</t>
  </si>
  <si>
    <t>La solicitud es rechazada.</t>
  </si>
  <si>
    <t>Ámbito de analista</t>
  </si>
  <si>
    <t>Un QA intenta consultar datos de otro analista.</t>
  </si>
  <si>
    <t>Se invoca la consulta.</t>
  </si>
  <si>
    <t>Se impide el acceso por ámbito.</t>
  </si>
  <si>
    <t>Ámbito de QE</t>
  </si>
  <si>
    <t>Un QE intenta consultar un equipo ajeno.</t>
  </si>
  <si>
    <t>Se verifica sesión, rol y ámbito y se rechaza la solicitud.</t>
  </si>
  <si>
    <t>E1-B03</t>
  </si>
  <si>
    <t>Como Quality Engineer (QE), quiero que el sistema entregue el resumen de mi equipo y de las historias bajo mi supervisión</t>
  </si>
  <si>
    <t>Para consultar mi situación inicial al ingresar al portal</t>
  </si>
  <si>
    <t>Cálculo sobre datos autorizados</t>
  </si>
  <si>
    <t>El QE tiene equipo e historias.</t>
  </si>
  <si>
    <t>Solicita el resumen.</t>
  </si>
  <si>
    <t>Se calculan cantidades solo sobre datos autorizados del QE.</t>
  </si>
  <si>
    <t>Consulta válida sin registros</t>
  </si>
  <si>
    <t>El QE no tiene registros.</t>
  </si>
  <si>
    <t>Se devuelve cero únicamente cuando la consulta válida no encuentra registros.</t>
  </si>
  <si>
    <t>Fuente no disponible</t>
  </si>
  <si>
    <t>La fuente de historias no responde.</t>
  </si>
  <si>
    <t>Se informa que una fuente necesaria no está disponible.</t>
  </si>
  <si>
    <t>E1-B04</t>
  </si>
  <si>
    <t>Como Quality Engineer (QE), quiero que el sistema identifique a los analistas que superviso actualmente</t>
  </si>
  <si>
    <t>Para consultar la composición vigente de mi equipo</t>
  </si>
  <si>
    <t>Relaciones vigentes</t>
  </si>
  <si>
    <t>Existen relaciones activas y finalizadas.</t>
  </si>
  <si>
    <t>Solicita su equipo.</t>
  </si>
  <si>
    <t>Se devuelven solo relaciones vigentes, excluyendo las finalizadas.</t>
  </si>
  <si>
    <t>Restricción al QE autenticado</t>
  </si>
  <si>
    <t>Un QE solicita el equipo de otro QE.</t>
  </si>
  <si>
    <t>Invoca la consulta.</t>
  </si>
  <si>
    <t>Se rechaza, salvo acceso administrativo autorizado.</t>
  </si>
  <si>
    <t>Acceso administrativo</t>
  </si>
  <si>
    <t>Un Administrador consulta el equipo de un QE.</t>
  </si>
  <si>
    <t>Se devuelve la información por estar autorizado.</t>
  </si>
  <si>
    <t>E1-B05</t>
  </si>
  <si>
    <t>Como Analista QA, quiero que el sistema entregue mi supervisor vigente y el resumen de mis historias asignadas</t>
  </si>
  <si>
    <t>Para conocer mi ámbito de trabajo al ingresar al portal</t>
  </si>
  <si>
    <t>Supervisor e historias</t>
  </si>
  <si>
    <t>El analista tiene QE vigente e historias.</t>
  </si>
  <si>
    <t>Solicita su resumen.</t>
  </si>
  <si>
    <t>Se obtiene el supervisor vigente y las historias del analista autenticado.</t>
  </si>
  <si>
    <t>Ausencia de supervisor</t>
  </si>
  <si>
    <t>Se representa explícitamente la ausencia de supervisor.</t>
  </si>
  <si>
    <t>Resumen de otro QA</t>
  </si>
  <si>
    <t>Un analista solicita el resumen de otro.</t>
  </si>
  <si>
    <t>Se impide sin permiso.</t>
  </si>
  <si>
    <t>E1-B06</t>
  </si>
  <si>
    <t>Como Administrador, quiero que el sistema entregue la información inicial de usuarios, roles y supervisión</t>
  </si>
  <si>
    <t>Para acceder a la administración de la plataforma</t>
  </si>
  <si>
    <t>Solo acceso administrativo</t>
  </si>
  <si>
    <t>Un usuario no administrador solicita la información.</t>
  </si>
  <si>
    <t>Se rechaza la solicitud.</t>
  </si>
  <si>
    <t>Información consistente</t>
  </si>
  <si>
    <t>El Administrador solicita el resumen.</t>
  </si>
  <si>
    <t>Se devuelve información consistente con el registro de usuarios y supervisión.</t>
  </si>
  <si>
    <t>Datos recién modificados</t>
  </si>
  <si>
    <t>Se acaba de registrar un usuario.</t>
  </si>
  <si>
    <t>El nuevo usuario se refleja en la información entregada.</t>
  </si>
  <si>
    <t>E1-B07</t>
  </si>
  <si>
    <t>Como Administrador, quiero que el sistema registre usuarios y permita actualizar sus datos y estado de acceso</t>
  </si>
  <si>
    <t>Para mantener un registro vigente de participantes</t>
  </si>
  <si>
    <t>Correo único</t>
  </si>
  <si>
    <t>Ya existe un usuario con el mismo correo.</t>
  </si>
  <si>
    <t>Registra un nuevo usuario.</t>
  </si>
  <si>
    <t>Se rechaza por unicidad del correo tras validar campos.</t>
  </si>
  <si>
    <t>Identificador estable</t>
  </si>
  <si>
    <t>Se actualiza el correo de un usuario.</t>
  </si>
  <si>
    <t>Guarda los cambios.</t>
  </si>
  <si>
    <t>El identificador interno se mantiene estable y se coordina con el proveedor de autenticación.</t>
  </si>
  <si>
    <t>Usuario desactivado</t>
  </si>
  <si>
    <t>Un usuario fue desactivado.</t>
  </si>
  <si>
    <t>Intenta una operación protegida.</t>
  </si>
  <si>
    <t>Se impiden nuevas operaciones protegidas.</t>
  </si>
  <si>
    <t>E1-B08</t>
  </si>
  <si>
    <t>Como Administrador, quiero que el sistema permita asignar o modificar el rol de un usuario autorizado</t>
  </si>
  <si>
    <t>Para establecer sus responsabilidades y permisos</t>
  </si>
  <si>
    <t>Rol definido</t>
  </si>
  <si>
    <t>Se envía un rol fuera del catálogo.</t>
  </si>
  <si>
    <t>Asigna el rol.</t>
  </si>
  <si>
    <t>Se aceptan únicamente roles definidos.</t>
  </si>
  <si>
    <t>Último administrador</t>
  </si>
  <si>
    <t>Existe un solo administrador activo.</t>
  </si>
  <si>
    <t>Intenta cambiar su rol.</t>
  </si>
  <si>
    <t>Se evita dejar la plataforma sin administradores activos.</t>
  </si>
  <si>
    <t>Relaciones incompatibles</t>
  </si>
  <si>
    <t>Un QE con analistas supervisados cambia a rol QA.</t>
  </si>
  <si>
    <t>Intenta cambiar el rol.</t>
  </si>
  <si>
    <t>Se exige resolver las relaciones incompatibles antes de cambiar el rol.</t>
  </si>
  <si>
    <t>E1-B09</t>
  </si>
  <si>
    <t>Como Administrador, quiero que el sistema registre la relación entre un QE y sus analistas y conserve sus cambios</t>
  </si>
  <si>
    <t>Para mantener trazabilidad de la organización del equipo</t>
  </si>
  <si>
    <t>Validación de roles</t>
  </si>
  <si>
    <t>Se intenta asignar como supervisor a un usuario que no es QE o inactivo.</t>
  </si>
  <si>
    <t>Registra la relación.</t>
  </si>
  <si>
    <t>Se rechaza: el supervisor debe ser QE y el supervisado QA, ambos activos.</t>
  </si>
  <si>
    <t>Un QE vigente por analista</t>
  </si>
  <si>
    <t>El analista ya tiene un QE.</t>
  </si>
  <si>
    <t>Registra un nuevo QE.</t>
  </si>
  <si>
    <t>Se finaliza la relación anterior y se crea la nueva en una misma transacción.</t>
  </si>
  <si>
    <t>Varios analistas por QE</t>
  </si>
  <si>
    <t>El QE ya supervisa analistas.</t>
  </si>
  <si>
    <t>Se le asigna otro analista.</t>
  </si>
  <si>
    <t>Se permite la relación adicional.</t>
  </si>
  <si>
    <t>E1-B10</t>
  </si>
  <si>
    <t>Como Usuario autenticado, quiero que el sistema entregue mis datos de identidad y rol vigente</t>
  </si>
  <si>
    <t>Para reconocer mi perfil dentro de la plataforma</t>
  </si>
  <si>
    <t>Identidad desde la sesión</t>
  </si>
  <si>
    <t>El usuario tiene sesión válida.</t>
  </si>
  <si>
    <t>Solicita su perfil.</t>
  </si>
  <si>
    <t>La identidad se obtiene desde la sesión validada.</t>
  </si>
  <si>
    <t>Datos mínimos</t>
  </si>
  <si>
    <t>El usuario solicita su perfil.</t>
  </si>
  <si>
    <t>Recibe la respuesta.</t>
  </si>
  <si>
    <t>Se devuelven únicamente los datos necesarios.</t>
  </si>
  <si>
    <t>Sin secretos</t>
  </si>
  <si>
    <t>No se exponen contraseñas, secretos ni credenciales.</t>
  </si>
  <si>
    <t>E1-B11</t>
  </si>
  <si>
    <t>Como Usuario autenticado, quiero que el sistema controle la expiración y finalización de mi sesión</t>
  </si>
  <si>
    <t>Para impedir que mi acceso continúe cuando deje de ser válido</t>
  </si>
  <si>
    <t>La sesión superó su vigencia.</t>
  </si>
  <si>
    <t>Invoca una operación protegida.</t>
  </si>
  <si>
    <t>Cierre de sesión</t>
  </si>
  <si>
    <t>El usuario cierra sesión.</t>
  </si>
  <si>
    <t>Invoca el cierre.</t>
  </si>
  <si>
    <t>Se invalida la sesión de aplicación y se impide su renovación.</t>
  </si>
  <si>
    <t>Revocación en el proveedor</t>
  </si>
  <si>
    <t>Se cierra la sesión.</t>
  </si>
  <si>
    <t>Se evalúa el proveedor de autenticación.</t>
  </si>
  <si>
    <t>El alcance de revocación del proveedor queda definido y probado.</t>
  </si>
  <si>
    <t>E1-B12</t>
  </si>
  <si>
    <t>Como Administrador, quiero que el sistema registre los cambios de usuarios, roles y supervisión</t>
  </si>
  <si>
    <t>Para conocer quién realizó cada modificación y cuándo</t>
  </si>
  <si>
    <t>Registro de auditoría</t>
  </si>
  <si>
    <t>Se modifica un usuario, rol o supervisión.</t>
  </si>
  <si>
    <t>Se confirma la operación.</t>
  </si>
  <si>
    <t>Se registra actor, fecha, operación, recurso y cambios relevantes.</t>
  </si>
  <si>
    <t>Motivo en supervisión</t>
  </si>
  <si>
    <t>Se cambia el QE de un analista.</t>
  </si>
  <si>
    <t>Se confirma el cambio.</t>
  </si>
  <si>
    <t>Se conserva el motivo del cambio.</t>
  </si>
  <si>
    <t>Datos sensibles</t>
  </si>
  <si>
    <t>Se registra un cambio de credenciales.</t>
  </si>
  <si>
    <t>Se genera el registro.</t>
  </si>
  <si>
    <t>Se excluyen contraseñas y tokens de los registros.</t>
  </si>
  <si>
    <t>E1-B13</t>
  </si>
  <si>
    <t>Como Usuario registrado, quiero que el sistema gestione de forma segura el restablecimiento de mi contraseña</t>
  </si>
  <si>
    <t>Para que solo quien controla mi correo pueda cambiarla</t>
  </si>
  <si>
    <t>Envío del enlace</t>
  </si>
  <si>
    <t>Se solicita la recuperación para un correo.</t>
  </si>
  <si>
    <t>El proveedor de autenticación procesa la solicitud.</t>
  </si>
  <si>
    <t>Solo si el correo está registrado se envía un enlace de un solo uso, válido por un tiempo limitado. La respuesta es idéntica para correos registrados e inexistentes.</t>
  </si>
  <si>
    <t>Cambio de contraseña</t>
  </si>
  <si>
    <t>Se usa un enlace válido.</t>
  </si>
  <si>
    <t>Se fija la nueva contraseña.</t>
  </si>
  <si>
    <t>La contraseña anterior deja de ser válida, las sesiones previas no pueden renovarse y la sesión de recuperación no habilita el acceso al portal.</t>
  </si>
  <si>
    <t>Redirección y abuso</t>
  </si>
  <si>
    <t>Se solicita con una dirección de retorno no autorizada o se repiten las solicitudes.</t>
  </si>
  <si>
    <t>El proveedor procesa la solicitud.</t>
  </si>
  <si>
    <t>Solo se redirige a direcciones autorizadas y se limita la frecuencia de envíos, sin revelar si el correo existe.</t>
  </si>
  <si>
    <t>ÉPICA 2 — GESTIÓN DE HISTORIAS DE USUARIO (HDU)   ·   Registro, asignación, estados y consulta de las HDU bajo certificación, organizadas por célula y sprint.</t>
  </si>
  <si>
    <t>E2-F01</t>
  </si>
  <si>
    <t>Como Quality Engineer (QE), quiero registrar una nueva HDU con su identificador, título, célula, sprint y prioridad</t>
  </si>
  <si>
    <t>Para iniciar su seguimiento de certificación</t>
  </si>
  <si>
    <t>Registro exitoso</t>
  </si>
  <si>
    <t>El QE completa el formulario con datos válidos.</t>
  </si>
  <si>
    <t>Presiona Guardar.</t>
  </si>
  <si>
    <t>La HDU se crea en estado Pendiente y aparece en el listado.</t>
  </si>
  <si>
    <t>Datos obligatorios</t>
  </si>
  <si>
    <t>Faltan el identificador o el título.</t>
  </si>
  <si>
    <t>Se indican los campos faltantes y no se crea la HDU.</t>
  </si>
  <si>
    <t>Identificador duplicado</t>
  </si>
  <si>
    <t>Ya existe una HDU con el mismo identificador.</t>
  </si>
  <si>
    <t>Se informa el duplicado y se solicita corregirlo.</t>
  </si>
  <si>
    <t>E2-F02</t>
  </si>
  <si>
    <t>Como Quality Engineer (QE), quiero asignar o reasignar el analista QA responsable de una HDU</t>
  </si>
  <si>
    <t>Para distribuir la carga de certificación en mi equipo</t>
  </si>
  <si>
    <t>Asignación desde mi equipo</t>
  </si>
  <si>
    <t>El QE abre una HDU sin analista.</t>
  </si>
  <si>
    <t>Selecciona un analista supervisado.</t>
  </si>
  <si>
    <t>La HDU queda asignada y visible para ese analista.</t>
  </si>
  <si>
    <t>Analista fuera del equipo</t>
  </si>
  <si>
    <t>El QE busca un analista que no supervisa.</t>
  </si>
  <si>
    <t>Despliega el selector.</t>
  </si>
  <si>
    <t>Solo se listan analistas de su equipo.</t>
  </si>
  <si>
    <t>Reasignación</t>
  </si>
  <si>
    <t>La HDU ya tiene analista.</t>
  </si>
  <si>
    <t>Selecciona otro analista y confirma.</t>
  </si>
  <si>
    <t>Se solicita confirmación y se registra el cambio.</t>
  </si>
  <si>
    <t>E2-F03</t>
  </si>
  <si>
    <t>Como Analista QA, quiero ver el listado de mis HDU asignadas con filtros por célula, sprint y estado</t>
  </si>
  <si>
    <t>Para organizar mi trabajo de certificación</t>
  </si>
  <si>
    <t>Listado filtrado</t>
  </si>
  <si>
    <t>El analista tiene HDU en varios sprints.</t>
  </si>
  <si>
    <t>Aplica el filtro por sprint.</t>
  </si>
  <si>
    <t>Se muestran solo las HDU del sprint elegido.</t>
  </si>
  <si>
    <t>Sin resultados</t>
  </si>
  <si>
    <t>Ningún registro cumple los filtros.</t>
  </si>
  <si>
    <t>Aplica los filtros.</t>
  </si>
  <si>
    <t>Se informa que no hay HDU con esos criterios.</t>
  </si>
  <si>
    <t>Solo mis historias</t>
  </si>
  <si>
    <t>El analista consulta el listado.</t>
  </si>
  <si>
    <t>Visualiza los resultados.</t>
  </si>
  <si>
    <t>Solo aparecen HDU asignadas a él.</t>
  </si>
  <si>
    <t>E2-F04</t>
  </si>
  <si>
    <t>Como Usuario autenticado, quiero ver el detalle de una HDU con su información, responsables, estado y avance</t>
  </si>
  <si>
    <t>Para conocer su situación completa</t>
  </si>
  <si>
    <t>Detalle completo</t>
  </si>
  <si>
    <t>El usuario tiene acceso a la HDU.</t>
  </si>
  <si>
    <t>Abre el detalle.</t>
  </si>
  <si>
    <t>Se muestran datos, QE, analista, estado, célula, sprint y avance del checklist.</t>
  </si>
  <si>
    <t>HDU sin acceso</t>
  </si>
  <si>
    <t>El usuario no está relacionado con la HDU.</t>
  </si>
  <si>
    <t>Intenta abrir el detalle.</t>
  </si>
  <si>
    <t>Se presenta acceso denegado.</t>
  </si>
  <si>
    <t>Cambio de estado</t>
  </si>
  <si>
    <t>El usuario autorizado está en el detalle.</t>
  </si>
  <si>
    <t>Cambia el estado a uno válido.</t>
  </si>
  <si>
    <t>Se actualiza el estado y se muestra la fecha del cambio.</t>
  </si>
  <si>
    <t>E2-B01</t>
  </si>
  <si>
    <t>Como Quality Engineer (QE), quiero que el sistema persista las HDU con sus atributos y relaciones</t>
  </si>
  <si>
    <t>Para mantener un registro único y trazable</t>
  </si>
  <si>
    <t>Creación persistente</t>
  </si>
  <si>
    <t>Se recibe una HDU válida.</t>
  </si>
  <si>
    <t>Se procesa la creación.</t>
  </si>
  <si>
    <t>Se almacena con célula, sprint, prioridad, QE creador y fecha.</t>
  </si>
  <si>
    <t>Validación de esquema</t>
  </si>
  <si>
    <t>Se reciben datos inválidos.</t>
  </si>
  <si>
    <t>Se procesa la solicitud.</t>
  </si>
  <si>
    <t>Se rechaza indicando los errores de validación.</t>
  </si>
  <si>
    <t>Unicidad</t>
  </si>
  <si>
    <t>El identificador ya existe.</t>
  </si>
  <si>
    <t>Se rechaza por duplicidad.</t>
  </si>
  <si>
    <t>E2-B02</t>
  </si>
  <si>
    <t>Como Quality Engineer (QE), quiero que el sistema valide las transiciones de estado de una HDU</t>
  </si>
  <si>
    <t>Para respetar el orden del proceso de certificación</t>
  </si>
  <si>
    <t>Transición válida</t>
  </si>
  <si>
    <t>La HDU está en Pendiente.</t>
  </si>
  <si>
    <t>Se solicita pasar a Diseño de pruebas.</t>
  </si>
  <si>
    <t>Se acepta y registra la transición.</t>
  </si>
  <si>
    <t>Transición inválida</t>
  </si>
  <si>
    <t>Se solicita pasar a Cerrada.</t>
  </si>
  <si>
    <t>Se rechaza indicando las transiciones permitidas.</t>
  </si>
  <si>
    <t>Cierre con checklist incompleto</t>
  </si>
  <si>
    <t>Faltan entregables por completar.</t>
  </si>
  <si>
    <t>Se solicita el estado Cerrada.</t>
  </si>
  <si>
    <t>Se rechaza hasta completar el checklist.</t>
  </si>
  <si>
    <t>E2-B03</t>
  </si>
  <si>
    <t>Como Analista QA, quiero que el sistema filtre las HDU según mi rol y asignación</t>
  </si>
  <si>
    <t>Para trabajar solo con las historias que me corresponden</t>
  </si>
  <si>
    <t>Analista</t>
  </si>
  <si>
    <t>Un QA consulta el listado.</t>
  </si>
  <si>
    <t>Se procesa la consulta.</t>
  </si>
  <si>
    <t>Se devuelven solo HDU con analistaId igual al usuario.</t>
  </si>
  <si>
    <t>QE</t>
  </si>
  <si>
    <t>Un QE consulta el listado.</t>
  </si>
  <si>
    <t>Se devuelven HDU donde es responsable o de sus analistas.</t>
  </si>
  <si>
    <t>Un Administrador consulta el listado.</t>
  </si>
  <si>
    <t>Se devuelven todas las HDU.</t>
  </si>
  <si>
    <t>E2-B04</t>
  </si>
  <si>
    <t>Como Administrador, quiero que el sistema registre los cambios de asignación y estado de cada HDU</t>
  </si>
  <si>
    <t>Para contar con trazabilidad del proceso</t>
  </si>
  <si>
    <t>Historial de estado</t>
  </si>
  <si>
    <t>Cambia el estado de una HDU.</t>
  </si>
  <si>
    <t>Se registra estado anterior, nuevo, actor y fecha.</t>
  </si>
  <si>
    <t>Historial de asignación</t>
  </si>
  <si>
    <t>Se reasigna el analista.</t>
  </si>
  <si>
    <t>Se registra el analista anterior, el nuevo y el motivo.</t>
  </si>
  <si>
    <t>Consulta del historial</t>
  </si>
  <si>
    <t>Un usuario autorizado solicita el historial.</t>
  </si>
  <si>
    <t>Se devuelve en orden cronológico.</t>
  </si>
  <si>
    <t>ÉPICA 3 — CERTIFICACIÓN Y ENTREGABLES   ·   Checklist de 10 entregables con trazabilidad (quién/cuándo), evidencias y generación del certificado de cierre.</t>
  </si>
  <si>
    <t>E3-F01</t>
  </si>
  <si>
    <t>Como Analista QA, quiero ver el checklist de 10 entregables de una HDU con su estado de cumplimiento</t>
  </si>
  <si>
    <t>Para saber qué falta para certificarla</t>
  </si>
  <si>
    <t>Checklist completo</t>
  </si>
  <si>
    <t>El analista abre una HDU.</t>
  </si>
  <si>
    <t>Visualiza el checklist.</t>
  </si>
  <si>
    <t>Se muestran los 10 entregables en orden, con estado, responsable y fecha de cada uno.</t>
  </si>
  <si>
    <t>Porcentaje de cumplimiento</t>
  </si>
  <si>
    <t>Hay entregables completados.</t>
  </si>
  <si>
    <t>Se muestra el porcentaje de avance calculado.</t>
  </si>
  <si>
    <t>Solo lectura</t>
  </si>
  <si>
    <t>Un usuario sin permiso abre la HDU.</t>
  </si>
  <si>
    <t>No puede marcar entregables.</t>
  </si>
  <si>
    <t>E3-F02</t>
  </si>
  <si>
    <t>Como Analista QA, quiero marcar un entregable como completado adjuntando evidencia</t>
  </si>
  <si>
    <t>Para registrar el avance de la certificación</t>
  </si>
  <si>
    <t>Marcar con evidencia</t>
  </si>
  <si>
    <t>El entregable está pendiente.</t>
  </si>
  <si>
    <t>Lo marca y adjunta un enlace o archivo.</t>
  </si>
  <si>
    <t>Queda completado con mi nombre y fecha.</t>
  </si>
  <si>
    <t>Orden del proceso</t>
  </si>
  <si>
    <t>El entregable anterior obligatorio está pendiente.</t>
  </si>
  <si>
    <t>Intenta marcar el siguiente.</t>
  </si>
  <si>
    <t>Se informa que debe completar el anterior.</t>
  </si>
  <si>
    <t>Desmarcar</t>
  </si>
  <si>
    <t>El entregable está completado.</t>
  </si>
  <si>
    <t>Lo desmarca indicando motivo.</t>
  </si>
  <si>
    <t>Se registra el retroceso y su motivo.</t>
  </si>
  <si>
    <t>E3-F03</t>
  </si>
  <si>
    <t>Como Quality Engineer (QE), quiero aprobar los entregables que requieren revisión del QE</t>
  </si>
  <si>
    <t>Para asegurar la calidad del proceso antes del cierre</t>
  </si>
  <si>
    <t>Aprobación</t>
  </si>
  <si>
    <t>Un entregable está pendiente de aprobación.</t>
  </si>
  <si>
    <t>Lo aprueba.</t>
  </si>
  <si>
    <t>Queda aprobado con nombre y fecha del QE.</t>
  </si>
  <si>
    <t>Rechazo con observaciones</t>
  </si>
  <si>
    <t>El entregable no cumple.</t>
  </si>
  <si>
    <t>Lo rechaza con comentario.</t>
  </si>
  <si>
    <t>Vuelve a pendiente y el analista ve las observaciones.</t>
  </si>
  <si>
    <t>Pendientes de aprobación</t>
  </si>
  <si>
    <t>Existen varios entregables por aprobar.</t>
  </si>
  <si>
    <t>Abre su bandeja.</t>
  </si>
  <si>
    <t>Se listan agrupados por HDU.</t>
  </si>
  <si>
    <t>E3-F04</t>
  </si>
  <si>
    <t>Como Quality Engineer (QE), quiero generar y descargar el certificado de una HDU con los 10 entregables completos</t>
  </si>
  <si>
    <t>Para entregar evidencia formal de cierre a la célula</t>
  </si>
  <si>
    <t>Generación</t>
  </si>
  <si>
    <t>Los 10 entregables están completos y aprobados.</t>
  </si>
  <si>
    <t>Presiona Generar certificado.</t>
  </si>
  <si>
    <t>Se descarga un PDF con folio, fechas y responsable de cada entregable.</t>
  </si>
  <si>
    <t>Checklist incompleto</t>
  </si>
  <si>
    <t>Falta un entregable.</t>
  </si>
  <si>
    <t>Visualiza el botón.</t>
  </si>
  <si>
    <t>El botón está deshabilitado y muestra el motivo.</t>
  </si>
  <si>
    <t>Certificado existente</t>
  </si>
  <si>
    <t>La HDU ya fue certificada.</t>
  </si>
  <si>
    <t>Vuelve al detalle.</t>
  </si>
  <si>
    <t>Puede descargar nuevamente el mismo certificado.</t>
  </si>
  <si>
    <t>E3-B01</t>
  </si>
  <si>
    <t>Como Analista QA, quiero que el sistema registre cada entregable como un registro con responsable y fecha</t>
  </si>
  <si>
    <t>Para que el checklist sea evidencia auditable</t>
  </si>
  <si>
    <t>Registro individual</t>
  </si>
  <si>
    <t>Se marca un entregable.</t>
  </si>
  <si>
    <t>Se guarda completadoPor, completadoEn y evidencia.</t>
  </si>
  <si>
    <t>Unicidad por HDU</t>
  </si>
  <si>
    <t>Se intenta duplicar un entregable.</t>
  </si>
  <si>
    <t>Se rechaza: un registro por clave y HDU.</t>
  </si>
  <si>
    <t>Permisos</t>
  </si>
  <si>
    <t>Un usuario sin rol autorizado marca un entregable.</t>
  </si>
  <si>
    <t>Se rechaza la operación.</t>
  </si>
  <si>
    <t>E3-B02</t>
  </si>
  <si>
    <t>Como Quality Engineer (QE), quiero que el sistema valide el orden y las aprobaciones del checklist</t>
  </si>
  <si>
    <t>Para que el proceso de certificación sea consistente</t>
  </si>
  <si>
    <t>Orden obligatorio</t>
  </si>
  <si>
    <t>El entregable previo está pendiente.</t>
  </si>
  <si>
    <t>Se marca el siguiente.</t>
  </si>
  <si>
    <t>Se rechaza indicando la dependencia.</t>
  </si>
  <si>
    <t>Aprobación de QE</t>
  </si>
  <si>
    <t>Un entregable requiere aprobación.</t>
  </si>
  <si>
    <t>El analista intenta aprobarlo.</t>
  </si>
  <si>
    <t>Se rechaza: solo el QE responsable puede aprobar.</t>
  </si>
  <si>
    <t>Cálculo de cumplimiento</t>
  </si>
  <si>
    <t>Cambia el estado de un entregable.</t>
  </si>
  <si>
    <t>Se recalcula.</t>
  </si>
  <si>
    <t>El porcentaje se actualiza sobre los 10 entregables.</t>
  </si>
  <si>
    <t>E3-B03</t>
  </si>
  <si>
    <t>Como Quality Engineer (QE), quiero que el sistema genere el certificado en PDF con código verificable</t>
  </si>
  <si>
    <t>Para respaldar formalmente el cierre de la HDU</t>
  </si>
  <si>
    <t>Generación con folio</t>
  </si>
  <si>
    <t>El checklist está completo y aprobado.</t>
  </si>
  <si>
    <t>Se solicita el certificado.</t>
  </si>
  <si>
    <t>Se genera un PDF con folio único y se almacena.</t>
  </si>
  <si>
    <t>Verificación</t>
  </si>
  <si>
    <t>Alguien consulta un folio.</t>
  </si>
  <si>
    <t>Invoca la verificación.</t>
  </si>
  <si>
    <t>Se confirma HDU, fecha y validez del certificado.</t>
  </si>
  <si>
    <t>Precondición incumplida</t>
  </si>
  <si>
    <t>Se rechaza indicando el faltante.</t>
  </si>
  <si>
    <t>E3-B04</t>
  </si>
  <si>
    <t>Como Administrador, quiero que el sistema audite los cambios en entregables y certificados</t>
  </si>
  <si>
    <t>Para conocer quién hizo cada cambio y cuándo</t>
  </si>
  <si>
    <t>Registro de cambio</t>
  </si>
  <si>
    <t>Se marca, desmarca o aprueba un entregable.</t>
  </si>
  <si>
    <t>Se confirma.</t>
  </si>
  <si>
    <t>Se registra actor, fecha, valor anterior y nuevo.</t>
  </si>
  <si>
    <t>Motivo de retroceso</t>
  </si>
  <si>
    <t>Se desmarca un entregable.</t>
  </si>
  <si>
    <t>Se conserva el motivo.</t>
  </si>
  <si>
    <t>Consulta</t>
  </si>
  <si>
    <t>Un usuario autorizado pide la bitácora de una HDU.</t>
  </si>
  <si>
    <t>Se procesa.</t>
  </si>
  <si>
    <t>Se devuelve el historial completo.</t>
  </si>
  <si>
    <t>ÉPICA 4 — IMPEDIMENTOS Y RIESGOS   ·   Registro, seguimiento y resolución de impedimentos; clasificación del nivel de riesgo de cada HDU.</t>
  </si>
  <si>
    <t>E4-F01</t>
  </si>
  <si>
    <t>Como Analista QA, quiero registrar un impedimento sobre una HDU indicando tipo, descripción y responsable de resolverlo</t>
  </si>
  <si>
    <t>Para que mi QE pueda gestionarlo oportunamente</t>
  </si>
  <si>
    <t>Registro</t>
  </si>
  <si>
    <t>El analista está en el detalle de la HDU.</t>
  </si>
  <si>
    <t>Registra el impedimento.</t>
  </si>
  <si>
    <t>La HDU queda marcada como bloqueada y el impedimento aparece en su detalle.</t>
  </si>
  <si>
    <t>Falta la descripción.</t>
  </si>
  <si>
    <t>Se solicita completar los datos obligatorios.</t>
  </si>
  <si>
    <t>Notificación al QE</t>
  </si>
  <si>
    <t>Se registra el impedimento.</t>
  </si>
  <si>
    <t>Se guarda.</t>
  </si>
  <si>
    <t>El QE supervisor lo ve en su panel.</t>
  </si>
  <si>
    <t>E4-F02</t>
  </si>
  <si>
    <t>Como Quality Engineer (QE), quiero ver los impedimentos abiertos de mi equipo priorizados por antigüedad y riesgo</t>
  </si>
  <si>
    <t>Para intervenir antes de que afecten la certificación</t>
  </si>
  <si>
    <t>Listado priorizado</t>
  </si>
  <si>
    <t>Existen impedimentos abiertos.</t>
  </si>
  <si>
    <t>Abre la sección.</t>
  </si>
  <si>
    <t>Se listan ordenados por riesgo y días abiertos, con HDU y analista.</t>
  </si>
  <si>
    <t>Sin impedimentos</t>
  </si>
  <si>
    <t>No hay impedimentos abiertos.</t>
  </si>
  <si>
    <t>Se informa que el equipo no tiene bloqueos.</t>
  </si>
  <si>
    <t>Filtro por célula</t>
  </si>
  <si>
    <t>Hay impedimentos en varias células.</t>
  </si>
  <si>
    <t>Filtra por célula.</t>
  </si>
  <si>
    <t>Se muestran solo los de la célula elegida.</t>
  </si>
  <si>
    <t>E4-F03</t>
  </si>
  <si>
    <t>Como Quality Engineer (QE), quiero resolver o escalar un impedimento registrando la acción tomada</t>
  </si>
  <si>
    <t>Para dejar trazabilidad de la gestión</t>
  </si>
  <si>
    <t>Resolución</t>
  </si>
  <si>
    <t>El impedimento está abierto.</t>
  </si>
  <si>
    <t>Lo marca como resuelto con comentario.</t>
  </si>
  <si>
    <t>La HDU deja de estar bloqueada y se registra la fecha.</t>
  </si>
  <si>
    <t>Escalamiento</t>
  </si>
  <si>
    <t>El impedimento excede mi ámbito.</t>
  </si>
  <si>
    <t>Lo escala indicando a quién.</t>
  </si>
  <si>
    <t>Queda en estado escalado con el responsable indicado.</t>
  </si>
  <si>
    <t>Reapertura</t>
  </si>
  <si>
    <t>Un impedimento resuelto vuelve a ocurrir.</t>
  </si>
  <si>
    <t>Lo reabre.</t>
  </si>
  <si>
    <t>Se conserva el historial anterior.</t>
  </si>
  <si>
    <t>E4-F04</t>
  </si>
  <si>
    <t>Como Quality Engineer (QE), quiero establecer y visualizar el nivel de riesgo de cada HDU</t>
  </si>
  <si>
    <t>Para priorizar la supervisión</t>
  </si>
  <si>
    <t>Nivel de riesgo</t>
  </si>
  <si>
    <t>El QE abre una HDU.</t>
  </si>
  <si>
    <t>Selecciona riesgo Alto, Medio o Bajo con justificación.</t>
  </si>
  <si>
    <t>Se guarda y se muestra con un semáforo.</t>
  </si>
  <si>
    <t>Riesgo sugerido</t>
  </si>
  <si>
    <t>La HDU tiene impedimentos abiertos o atraso.</t>
  </si>
  <si>
    <t>Abre la HDU.</t>
  </si>
  <si>
    <t>Se sugiere un nivel de riesgo que el QE puede confirmar.</t>
  </si>
  <si>
    <t>Listado por riesgo</t>
  </si>
  <si>
    <t>Existen HDU con distintos riesgos.</t>
  </si>
  <si>
    <t>Filtra por riesgo Alto.</t>
  </si>
  <si>
    <t>Se muestran solo las HDU de riesgo alto.</t>
  </si>
  <si>
    <t>E4-B01</t>
  </si>
  <si>
    <t>Como Analista QA, quiero que el sistema registre los impedimentos como entidad vinculada a la HDU</t>
  </si>
  <si>
    <t>Para gestionarlos con estados y responsables</t>
  </si>
  <si>
    <t>Creación</t>
  </si>
  <si>
    <t>Se recibe un impedimento válido.</t>
  </si>
  <si>
    <t>Se guarda con HDU, tipo, descripción, creador, responsable y fecha.</t>
  </si>
  <si>
    <t>Bloqueo de la HDU</t>
  </si>
  <si>
    <t>Se crea un impedimento abierto.</t>
  </si>
  <si>
    <t>La HDU se marca como bloqueada automáticamente.</t>
  </si>
  <si>
    <t>Ámbito</t>
  </si>
  <si>
    <t>Un analista registra un impedimento en una HDU ajena.</t>
  </si>
  <si>
    <t>Se rechaza.</t>
  </si>
  <si>
    <t>E4-B02</t>
  </si>
  <si>
    <t>Como Quality Engineer (QE), quiero que el sistema controle el ciclo de vida de los impedimentos</t>
  </si>
  <si>
    <t>Para mantener la información consistente</t>
  </si>
  <si>
    <t>Estados válidos</t>
  </si>
  <si>
    <t>Se solicita resolver o escalar.</t>
  </si>
  <si>
    <t>Se acepta y registra actor y fecha.</t>
  </si>
  <si>
    <t>Desbloqueo</t>
  </si>
  <si>
    <t>Se resuelve el último impedimento abierto.</t>
  </si>
  <si>
    <t>La HDU deja de estar bloqueada.</t>
  </si>
  <si>
    <t>El impedimento está resuelto.</t>
  </si>
  <si>
    <t>Se solicita escalar.</t>
  </si>
  <si>
    <t>Se rechaza; solo puede reabrirse.</t>
  </si>
  <si>
    <t>E4-B03</t>
  </si>
  <si>
    <t>Como Quality Engineer (QE), quiero que el sistema calcule un riesgo sugerido a partir de impedimentos y atraso</t>
  </si>
  <si>
    <t>Para apoyar la priorización del QE</t>
  </si>
  <si>
    <t>Impedimento abierto</t>
  </si>
  <si>
    <t>La HDU tiene un impedimento abierto.</t>
  </si>
  <si>
    <t>Se calcula el riesgo.</t>
  </si>
  <si>
    <t>Se sugiere al menos riesgo Medio.</t>
  </si>
  <si>
    <t>Atraso en sprint</t>
  </si>
  <si>
    <t>La HDU está por cerrar sprint con cumplimiento bajo.</t>
  </si>
  <si>
    <t>Se sugiere riesgo Alto.</t>
  </si>
  <si>
    <t>Confirmación manual</t>
  </si>
  <si>
    <t>El QE fija un riesgo distinto.</t>
  </si>
  <si>
    <t>Prevalece el valor del QE y se registra la justificación.</t>
  </si>
  <si>
    <t>E4-B04</t>
  </si>
  <si>
    <t>Como Administrador, quiero que el sistema audite la gestión de impedimentos y riesgos</t>
  </si>
  <si>
    <t>Para tener trazabilidad de las intervenciones</t>
  </si>
  <si>
    <t>Cambia el estado de un impedimento o el riesgo.</t>
  </si>
  <si>
    <t>Un usuario autorizado pide el historial.</t>
  </si>
  <si>
    <t>Se devuelve cronológicamente.</t>
  </si>
  <si>
    <t>Retención</t>
  </si>
  <si>
    <t>Se cierra la HDU.</t>
  </si>
  <si>
    <t>Se consulta el historial.</t>
  </si>
  <si>
    <t>Se conserva el registro completo.</t>
  </si>
  <si>
    <t>ÉPICA 5 — INTEGRACIÓN CON JIRA CLOUD   ·   Sincronización de lectura de HDU desde Jira Cloud e importación alternativa por CSV/JSON.</t>
  </si>
  <si>
    <t>E5-F01</t>
  </si>
  <si>
    <t>Como Administrador, quiero configurar la conexión con Jira Cloud (sitio, credenciales y proyecto)</t>
  </si>
  <si>
    <t>Para habilitar la sincronización de HDU</t>
  </si>
  <si>
    <t>Configuración válida</t>
  </si>
  <si>
    <t>El Administrador ingresa los datos.</t>
  </si>
  <si>
    <t>Presiona Probar conexión.</t>
  </si>
  <si>
    <t>Se confirma la conexión y se guarda la configuración.</t>
  </si>
  <si>
    <t>Credenciales inválidas</t>
  </si>
  <si>
    <t>El token es incorrecto.</t>
  </si>
  <si>
    <t>Se informa el error sin exponer el token.</t>
  </si>
  <si>
    <t>Credenciales protegidas</t>
  </si>
  <si>
    <t>La configuración existe.</t>
  </si>
  <si>
    <t>Vuelve a abrir la pantalla.</t>
  </si>
  <si>
    <t>El token se muestra enmascarado.</t>
  </si>
  <si>
    <t>E5-F02</t>
  </si>
  <si>
    <t>Como Quality Engineer (QE), quiero sincronizar las HDU de un proyecto Jira hacia Quality360</t>
  </si>
  <si>
    <t>Para no registrarlas manualmente</t>
  </si>
  <si>
    <t>Sincronización</t>
  </si>
  <si>
    <t>La conexión está configurada.</t>
  </si>
  <si>
    <t>Presiona Sincronizar.</t>
  </si>
  <si>
    <t>Se muestran las HDU nuevas y actualizadas, con resumen del resultado.</t>
  </si>
  <si>
    <t>Sin cambios</t>
  </si>
  <si>
    <t>No hay historias nuevas.</t>
  </si>
  <si>
    <t>Se informa que no hubo cambios.</t>
  </si>
  <si>
    <t>Error de API</t>
  </si>
  <si>
    <t>Jira no responde.</t>
  </si>
  <si>
    <t>Se informa el error y se sugiere la importación alternativa.</t>
  </si>
  <si>
    <t>E5-F03</t>
  </si>
  <si>
    <t>Como Quality Engineer (QE), quiero importar HDU desde un archivo CSV o JSON</t>
  </si>
  <si>
    <t>Para contar con una alternativa cuando Jira no esté disponible</t>
  </si>
  <si>
    <t>Importación válida</t>
  </si>
  <si>
    <t>El archivo cumple el formato.</t>
  </si>
  <si>
    <t>Sube el archivo.</t>
  </si>
  <si>
    <t>Se muestra una vista previa y luego se importan las HDU.</t>
  </si>
  <si>
    <t>Formato inválido</t>
  </si>
  <si>
    <t>El archivo tiene columnas faltantes.</t>
  </si>
  <si>
    <t>Se indican los errores por fila sin importar nada.</t>
  </si>
  <si>
    <t>Duplicados</t>
  </si>
  <si>
    <t>Algunas HDU ya existen.</t>
  </si>
  <si>
    <t>Confirma la importación.</t>
  </si>
  <si>
    <t>Se actualizan las existentes y se informan cuántas.</t>
  </si>
  <si>
    <t>E5-F04</t>
  </si>
  <si>
    <t>Como Quality Engineer (QE), quiero ver el estado y el historial de sincronizaciones</t>
  </si>
  <si>
    <t>Para confiar en la información importada</t>
  </si>
  <si>
    <t>Última sincronización</t>
  </si>
  <si>
    <t>Existen sincronizaciones previas.</t>
  </si>
  <si>
    <t>Abre el panel de integración.</t>
  </si>
  <si>
    <t>Se muestra fecha, resultado y cantidad de HDU de la última ejecución.</t>
  </si>
  <si>
    <t>Historial</t>
  </si>
  <si>
    <t>Hay varias ejecuciones.</t>
  </si>
  <si>
    <t>Abre el historial.</t>
  </si>
  <si>
    <t>Se listan con fecha, origen (Jira/CSV) y resultado.</t>
  </si>
  <si>
    <t>Detalle de errores</t>
  </si>
  <si>
    <t>Una ejecución falló parcialmente.</t>
  </si>
  <si>
    <t>Se muestran las filas o issues con error.</t>
  </si>
  <si>
    <t>E5-B01</t>
  </si>
  <si>
    <t>Como Administrador, quiero que el sistema almacene la configuración de Jira de forma segura</t>
  </si>
  <si>
    <t>Para proteger las credenciales de integración</t>
  </si>
  <si>
    <t>Cifrado</t>
  </si>
  <si>
    <t>Se guarda un token.</t>
  </si>
  <si>
    <t>Se almacena cifrado y nunca se devuelve en claro.</t>
  </si>
  <si>
    <t>Prueba de conexión</t>
  </si>
  <si>
    <t>Se solicita probar.</t>
  </si>
  <si>
    <t>Se invoca la API de Jira.</t>
  </si>
  <si>
    <t>Se devuelve el resultado sin exponer credenciales.</t>
  </si>
  <si>
    <t>Solo administrador</t>
  </si>
  <si>
    <t>Un QE intenta configurar.</t>
  </si>
  <si>
    <t>E5-B02</t>
  </si>
  <si>
    <t>Como Quality Engineer (QE), quiero que el sistema consuma la API REST de Jira Cloud y mapee las issues a HDU</t>
  </si>
  <si>
    <t>Para sincronizar la información de lectura</t>
  </si>
  <si>
    <t>Mapeo de campos</t>
  </si>
  <si>
    <t>Se obtienen issues del proyecto.</t>
  </si>
  <si>
    <t>Clave, título, sprint, estado y responsable se mapean a la HDU.</t>
  </si>
  <si>
    <t>Paginación</t>
  </si>
  <si>
    <t>El proyecto tiene más issues que el tamaño de página.</t>
  </si>
  <si>
    <t>Se recorren todas las páginas.</t>
  </si>
  <si>
    <t>Límite de tasa</t>
  </si>
  <si>
    <t>Jira responde con límite excedido.</t>
  </si>
  <si>
    <t>Se reintenta con espera y se registra el evento.</t>
  </si>
  <si>
    <t>E5-B03</t>
  </si>
  <si>
    <t>Como Quality Engineer (QE), quiero que el sistema importe HDU desde CSV/JSON validando su contenido</t>
  </si>
  <si>
    <t>Para mantener la calidad de los datos</t>
  </si>
  <si>
    <t>Validación</t>
  </si>
  <si>
    <t>Se recibe un archivo.</t>
  </si>
  <si>
    <t>Se valida esquema, tipos y campos obligatorios.</t>
  </si>
  <si>
    <t>Upsert</t>
  </si>
  <si>
    <t>Una HDU ya existe.</t>
  </si>
  <si>
    <t>Se actualiza sin duplicar y se conserva su checklist.</t>
  </si>
  <si>
    <t>Transacción</t>
  </si>
  <si>
    <t>Falla una fila en modo estricto.</t>
  </si>
  <si>
    <t>No se importa ninguna y se devuelve el detalle.</t>
  </si>
  <si>
    <t>E5-B04</t>
  </si>
  <si>
    <t>Como Administrador, quiero que el sistema registre cada ejecución de sincronización o importación</t>
  </si>
  <si>
    <t>Para tener trazabilidad de la integración</t>
  </si>
  <si>
    <t>Termina una ejecución.</t>
  </si>
  <si>
    <t>Se guarda origen, actor, fecha, totales y errores.</t>
  </si>
  <si>
    <t>Se solicita el historial.</t>
  </si>
  <si>
    <t>Se devuelve ordenado por fecha.</t>
  </si>
  <si>
    <t>Se registra un error de autenticación.</t>
  </si>
  <si>
    <t>No se incluyen tokens en el registro.</t>
  </si>
  <si>
    <t>ÉPICA 6 — INDICADORES Y DASHBOARDS   ·   Dashboards de cumplimiento, avance, riesgos, impedimentos y carga de trabajo para la supervisión del QE.</t>
  </si>
  <si>
    <t>E6-F01</t>
  </si>
  <si>
    <t>Como Quality Engineer (QE), quiero ver un dashboard con el cumplimiento de certificación de mi equipo</t>
  </si>
  <si>
    <t>Para supervisar el avance de un vistazo</t>
  </si>
  <si>
    <t>Indicadores</t>
  </si>
  <si>
    <t>Existen HDU con avance.</t>
  </si>
  <si>
    <t>Abre el dashboard.</t>
  </si>
  <si>
    <t>Se muestran HDU totales, certificadas, en curso, bloqueadas y cumplimiento promedio.</t>
  </si>
  <si>
    <t>Filtro por sprint y célula</t>
  </si>
  <si>
    <t>Hay varios sprints y células.</t>
  </si>
  <si>
    <t>Aplica filtros.</t>
  </si>
  <si>
    <t>Los indicadores se recalculan según la selección.</t>
  </si>
  <si>
    <t>No hay HDU en el filtro.</t>
  </si>
  <si>
    <t>Se informa que no hay datos, sin cifras ficticias.</t>
  </si>
  <si>
    <t>E6-F02</t>
  </si>
  <si>
    <t>Como Quality Engineer (QE), quiero ver un semáforo de riesgo e impedimentos por célula</t>
  </si>
  <si>
    <t>Para identificar dónde intervenir primero</t>
  </si>
  <si>
    <t>Semáforo</t>
  </si>
  <si>
    <t>Abre la vista por célula.</t>
  </si>
  <si>
    <t>Cada célula muestra su color según riesgo máximo e impedimentos abiertos.</t>
  </si>
  <si>
    <t>Drill-down</t>
  </si>
  <si>
    <t>Una célula está en rojo.</t>
  </si>
  <si>
    <t>La selecciona.</t>
  </si>
  <si>
    <t>Se listan las HDU que generan el riesgo.</t>
  </si>
  <si>
    <t>Actualización</t>
  </si>
  <si>
    <t>Se resuelve un impedimento.</t>
  </si>
  <si>
    <t>Vuelve a la vista.</t>
  </si>
  <si>
    <t>El semáforo refleja el nuevo estado.</t>
  </si>
  <si>
    <t>E6-F03</t>
  </si>
  <si>
    <t>Como Quality Engineer (QE), quiero ver la carga de trabajo de cada analista de mi equipo</t>
  </si>
  <si>
    <t>Para distribuir las HDU de forma equilibrada</t>
  </si>
  <si>
    <t>Carga por analista</t>
  </si>
  <si>
    <t>Los analistas tienen HDU asignadas.</t>
  </si>
  <si>
    <t>Abre la vista de carga.</t>
  </si>
  <si>
    <t>Se muestra por analista la cantidad de HDU por estado y su cumplimiento.</t>
  </si>
  <si>
    <t>Sobrecarga</t>
  </si>
  <si>
    <t>Un analista supera el umbral configurado.</t>
  </si>
  <si>
    <t>Abre la vista.</t>
  </si>
  <si>
    <t>Se destaca visualmente.</t>
  </si>
  <si>
    <t>Sin asignaciones</t>
  </si>
  <si>
    <t>Un analista no tiene HDU.</t>
  </si>
  <si>
    <t>Aparece con cero, diferenciado de un error.</t>
  </si>
  <si>
    <t>E6-F04</t>
  </si>
  <si>
    <t>Como Quality Engineer (QE), quiero ver la tendencia histórica del cumplimiento y exportar el dashboard</t>
  </si>
  <si>
    <t>Para reportar el avance a la célula</t>
  </si>
  <si>
    <t>Tendencia</t>
  </si>
  <si>
    <t>Existen snapshots diarios.</t>
  </si>
  <si>
    <t>Abre la gráfica de tendencia.</t>
  </si>
  <si>
    <t>Se muestra la evolución del cumplimiento por sprint.</t>
  </si>
  <si>
    <t>Exportación</t>
  </si>
  <si>
    <t>El QE está en el dashboard.</t>
  </si>
  <si>
    <t>Presiona Exportar.</t>
  </si>
  <si>
    <t>Se descarga un PDF o CSV con los indicadores filtrados.</t>
  </si>
  <si>
    <t>Sin historial</t>
  </si>
  <si>
    <t>No hay snapshots.</t>
  </si>
  <si>
    <t>Abre la gráfica.</t>
  </si>
  <si>
    <t>Se informa que aún no hay historial.</t>
  </si>
  <si>
    <t>E6-B01</t>
  </si>
  <si>
    <t>Como Quality Engineer (QE), quiero que el sistema calcule los indicadores de cumplimiento sobre datos autorizados</t>
  </si>
  <si>
    <t>Para que el dashboard sea confiable</t>
  </si>
  <si>
    <t>Cálculo por ámbito</t>
  </si>
  <si>
    <t>El QE solicita indicadores.</t>
  </si>
  <si>
    <t>Se calculan solo sobre HDU de su ámbito.</t>
  </si>
  <si>
    <t>Filtros</t>
  </si>
  <si>
    <t>Se envían sprint y célula.</t>
  </si>
  <si>
    <t>Los agregados respetan los filtros.</t>
  </si>
  <si>
    <t>Consistencia</t>
  </si>
  <si>
    <t>Cambia un entregable.</t>
  </si>
  <si>
    <t>Se solicita el dashboard.</t>
  </si>
  <si>
    <t>Los indicadores reflejan el cambio.</t>
  </si>
  <si>
    <t>E6-B02</t>
  </si>
  <si>
    <t>Como Quality Engineer (QE), quiero que el sistema agregue riesgo e impedimentos por célula y analista</t>
  </si>
  <si>
    <t>Para alimentar el semáforo y la carga de trabajo</t>
  </si>
  <si>
    <t>Agregación por célula</t>
  </si>
  <si>
    <t>Existen HDU con riesgo e impedimentos.</t>
  </si>
  <si>
    <t>Se devuelve por célula el riesgo máximo y los impedimentos abiertos.</t>
  </si>
  <si>
    <t>Agregación por analista</t>
  </si>
  <si>
    <t>Se solicita la carga.</t>
  </si>
  <si>
    <t>Se devuelven HDU por estado y cumplimiento por analista.</t>
  </si>
  <si>
    <t>Umbral</t>
  </si>
  <si>
    <t>Se configura un umbral de carga.</t>
  </si>
  <si>
    <t>Se marca a los analistas que lo superan.</t>
  </si>
  <si>
    <t>E6-B03</t>
  </si>
  <si>
    <t>Como Administrador, quiero que el sistema genere un snapshot diario de indicadores</t>
  </si>
  <si>
    <t>Para disponer de tendencia histórica</t>
  </si>
  <si>
    <t>Generación programada</t>
  </si>
  <si>
    <t>Llega la hora configurada.</t>
  </si>
  <si>
    <t>Se ejecuta la tarea.</t>
  </si>
  <si>
    <t>Se guarda un snapshot por célula y sprint.</t>
  </si>
  <si>
    <t>Idempotencia</t>
  </si>
  <si>
    <t>La tarea se ejecuta dos veces el mismo día.</t>
  </si>
  <si>
    <t>Se ejecuta.</t>
  </si>
  <si>
    <t>No se duplica el snapshot.</t>
  </si>
  <si>
    <t>Se solicita la serie histórica.</t>
  </si>
  <si>
    <t>Se devuelve ordenada por fecha.</t>
  </si>
  <si>
    <t>E6-B04</t>
  </si>
  <si>
    <t>Como Quality Engineer (QE), quiero que el sistema exporte los indicadores del dashboard</t>
  </si>
  <si>
    <t>Para compartir reportes con la célula</t>
  </si>
  <si>
    <t>Exportación CSV</t>
  </si>
  <si>
    <t>Se solicita CSV.</t>
  </si>
  <si>
    <t>Se genera con los indicadores filtrados.</t>
  </si>
  <si>
    <t>Exportación PDF</t>
  </si>
  <si>
    <t>Se solicita PDF.</t>
  </si>
  <si>
    <t>Se genera con encabezado, filtros aplicados y fecha.</t>
  </si>
  <si>
    <t>Un QE exporta.</t>
  </si>
  <si>
    <t>Solo incluye datos de su ámbito.</t>
  </si>
  <si>
    <t>Quality360 · Épicas del producto</t>
  </si>
  <si>
    <t>Resumen de épicas y cantidad de HDU. Los conteos se calculan desde la hoja Historias de Usuario.</t>
  </si>
  <si>
    <t>Épica</t>
  </si>
  <si>
    <t>Nombre</t>
  </si>
  <si>
    <t>Descripción</t>
  </si>
  <si>
    <t>HDU Frontend</t>
  </si>
  <si>
    <t>HDU Backend</t>
  </si>
  <si>
    <t>Total HDU</t>
  </si>
  <si>
    <t>Acceso, portales y organización QA</t>
  </si>
  <si>
    <t>Autenticación, autorización por rol y ámbito, portales de inicio y administración de usuarios, roles y supervisión.</t>
  </si>
  <si>
    <t>Gestión de historias de usuario (HDU)</t>
  </si>
  <si>
    <t>Registro, asignación, estados y consulta de las HDU bajo certificación, organizadas por célula y sprint.</t>
  </si>
  <si>
    <t>Certificación y entregables</t>
  </si>
  <si>
    <t>Checklist de 10 entregables con trazabilidad (quién/cuándo), evidencias y generación del certificado de cierre.</t>
  </si>
  <si>
    <t>Impedimentos y riesgos</t>
  </si>
  <si>
    <t>Registro, seguimiento y resolución de impedimentos; clasificación del nivel de riesgo de cada HDU.</t>
  </si>
  <si>
    <t>Integración con Jira Cloud</t>
  </si>
  <si>
    <t>Sincronización de lectura de HDU desde Jira Cloud e importación alternativa por CSV/JSON.</t>
  </si>
  <si>
    <t>Indicadores y dashboards</t>
  </si>
  <si>
    <t>Dashboards de cumplimiento, avance, riesgos, impedimentos y carga de trabajo para la supervisión del QE.</t>
  </si>
  <si>
    <t>Total</t>
  </si>
  <si>
    <t>Relación entre HDU de Frontend y Backend</t>
  </si>
  <si>
    <t>Cada funcionalidad visible por el usuario se sostiene en las reglas de backend que la hacen posible.</t>
  </si>
  <si>
    <t>Funcionalidad</t>
  </si>
  <si>
    <t>E1</t>
  </si>
  <si>
    <t>Inicio de sesión</t>
  </si>
  <si>
    <t>E1-B01, E1-B02</t>
  </si>
  <si>
    <t>Portal e inicio del QE</t>
  </si>
  <si>
    <t>E1-F02, E1-F03</t>
  </si>
  <si>
    <t>E1-B02, E1-B03</t>
  </si>
  <si>
    <t>Equipo supervisado</t>
  </si>
  <si>
    <t>Portal e inicio del QA</t>
  </si>
  <si>
    <t>E1-F05, E1-F06</t>
  </si>
  <si>
    <t>E1-B02, E1-B05</t>
  </si>
  <si>
    <t>Portal e inicio administrativo</t>
  </si>
  <si>
    <t>E1-F07, E1-F08</t>
  </si>
  <si>
    <t>E1-B02, E1-B06</t>
  </si>
  <si>
    <t>Usuarios y roles</t>
  </si>
  <si>
    <t>E1-B07, E1-B08, E1-B12</t>
  </si>
  <si>
    <t>Supervisión</t>
  </si>
  <si>
    <t>E1-B09, E1-B12</t>
  </si>
  <si>
    <t>Perfil</t>
  </si>
  <si>
    <t>Recuperación de contraseña</t>
  </si>
  <si>
    <t>E2</t>
  </si>
  <si>
    <t>Registro de HDU</t>
  </si>
  <si>
    <t>Asignación de analista</t>
  </si>
  <si>
    <t>E2-B03, E2-B04</t>
  </si>
  <si>
    <t>Listado y filtros</t>
  </si>
  <si>
    <t>Detalle y estados</t>
  </si>
  <si>
    <t>E2-B02, E2-B04</t>
  </si>
  <si>
    <t>E3</t>
  </si>
  <si>
    <t>Checklist de entregables</t>
  </si>
  <si>
    <t>E3-F01, E3-F02</t>
  </si>
  <si>
    <t>E3-B01, E3-B02</t>
  </si>
  <si>
    <t>Aprobación del QE</t>
  </si>
  <si>
    <t>E3-B02, E3-B04</t>
  </si>
  <si>
    <t>Certificado</t>
  </si>
  <si>
    <t>E3-B03, E3-B04</t>
  </si>
  <si>
    <t>E4</t>
  </si>
  <si>
    <t>Registro de impedimentos</t>
  </si>
  <si>
    <t>Gestión de impedimentos</t>
  </si>
  <si>
    <t>E4-F02, E4-F03</t>
  </si>
  <si>
    <t>E4-B02, E4-B04</t>
  </si>
  <si>
    <t>E4-B03, E4-B04</t>
  </si>
  <si>
    <t>E5</t>
  </si>
  <si>
    <t>Configuración Jira</t>
  </si>
  <si>
    <t>Sincronización Jira</t>
  </si>
  <si>
    <t>E5-B02, E5-B04</t>
  </si>
  <si>
    <t>Importación CSV/JSON</t>
  </si>
  <si>
    <t>E5-B03, E5-B04</t>
  </si>
  <si>
    <t>Historial de integración</t>
  </si>
  <si>
    <t>E6</t>
  </si>
  <si>
    <t>Dashboard de cumplimiento</t>
  </si>
  <si>
    <t>Semáforo y carga</t>
  </si>
  <si>
    <t>E6-F02, E6-F03</t>
  </si>
  <si>
    <t>Tendencia y exportación</t>
  </si>
  <si>
    <t>E6-B03, E6-B04</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</si>
  <si>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</si>
  <si>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</si>
  <si>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</si>
  <si>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</si>
  <si>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</si>
  <si>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</si>
  <si>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</si>
  <si>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</si>
  <si>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</si>
  <si>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</si>
  <si>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</si>
  <si>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</si>
  <si>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</si>
  <si>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Número de la épica a la que pertenece la historia. Ver hoja Épicas para nombre y descripción de cada una.</t>
  </si>
  <si>
    <t>Casos de prueba · Sprint 1 · Épica 1: acceso, portales por rol y organización QA</t>
  </si>
  <si>
    <t>Un caso por escenario de aceptación. Las pruebas automatizadas indicadas se ejecutan sobre el stack real (Supabase, servicios y datos semilla). Resultado de la última regresión: 256 de 257 pruebas pasan (1 omitida: límite de intentos, inexistente en Supabase local).</t>
  </si>
  <si>
    <t>Caso de Prueba</t>
  </si>
  <si>
    <t>HDU</t>
  </si>
  <si>
    <t>Escenario (#)</t>
  </si>
  <si>
    <t>Análisis de Funcionalidades</t>
  </si>
  <si>
    <t>Precondiciones</t>
  </si>
  <si>
    <t>Pasos</t>
  </si>
  <si>
    <t>Resultados Esperados</t>
  </si>
  <si>
    <t>Tipo de prueba</t>
  </si>
  <si>
    <t>Prueba automatizada</t>
  </si>
  <si>
    <t>Resultado obtenido</t>
  </si>
  <si>
    <t>Fecha de ejecución</t>
  </si>
  <si>
    <t>Observaciones</t>
  </si>
  <si>
    <t>CP-S1-001: Formulario de ingreso</t>
  </si>
  <si>
    <t>Verificar que se muestran los campos de correo y contraseña, con opción de mostrar u ocultar la contraseña.</t>
  </si>
  <si>
    <t>El usuario accede a la pantalla de inicio de sesión. Stack local con Supabase, servicios y datos semilla.</t>
  </si>
  <si>
    <t>1. Abrir el portal (http://localhost:5173).
2. Visualiza el formulario.
3. Verificar en pantalla el resultado esperado.</t>
  </si>
  <si>
    <t>Unitaria (Vitest) + E2E (Playwright)</t>
  </si>
  <si>
    <t>apps/web/src/test/login.test.tsx
tests/e2e/e1-f01-login.spec.ts</t>
  </si>
  <si>
    <t>Aprobado</t>
  </si>
  <si>
    <t>Certificado el 16-09-2026; re-ejecutado sin regresión el 16-10-2026.</t>
  </si>
  <si>
    <t>CP-S1-002: Campos obligatorios</t>
  </si>
  <si>
    <t>Verificar que el sistema valida los campos obligatorios y marca los que faltan sin enviar la solicitud.</t>
  </si>
  <si>
    <t>El usuario deja el correo o la contraseña en blanco. Stack local con Supabase, servicios y datos semilla.</t>
  </si>
  <si>
    <t>1. Abrir el portal (http://localhost:5173).
2. Presiona Ingresar.
3. Verificar en pantalla el resultado esperado.</t>
  </si>
  <si>
    <t>CP-S1-003: Credenciales incorrectas</t>
  </si>
  <si>
    <t>Verificar que se indica que el ingreso está en proceso y luego se presenta un mensaje genérico de credenciales incorrectas, sin revelar si el correo existe.</t>
  </si>
  <si>
    <t>El usuario ingresa credenciales válidas en formato pero incorrectas. Stack local con Supabase, servicios y datos semilla.</t>
  </si>
  <si>
    <t>CP-S1-004: Redirección al portal QE</t>
  </si>
  <si>
    <t>Verificar que es dirigido a su portal, que muestra su identidad y la navegación de supervisión.</t>
  </si>
  <si>
    <t>El usuario tiene rol QE y credenciales válidas. Sesión de Quality Engineer (QE) (carla.fuentes@quality360.local). Stack local con Supabase, servicios y datos semilla.</t>
  </si>
  <si>
    <t>1. Abrir el portal (http://localhost:5173) e iniciar sesión como Quality Engineer (QE).
2. Inicia sesión.
3. Verificar en pantalla el resultado esperado.</t>
  </si>
  <si>
    <t>E2E (Playwright)</t>
  </si>
  <si>
    <t>tests/e2e/e1-f02-portal-qe.spec.ts
tests/e2e/login-redireccion-rol.spec.ts</t>
  </si>
  <si>
    <t>CP-S1-005: Acceso a ruta de otro rol</t>
  </si>
  <si>
    <t>Verificar que se presenta acceso denegado o se redirige al portal autorizado.</t>
  </si>
  <si>
    <t>El QE está autenticado. Sesión de Quality Engineer (QE) (carla.fuentes@quality360.local). Stack local con Supabase, servicios y datos semilla.</t>
  </si>
  <si>
    <t>1. Abrir el portal (http://localhost:5173) e iniciar sesión como Quality Engineer (QE).
2. Intenta abrir una ruta administrativa o de analista.
3. Verificar en pantalla el resultado esperado.</t>
  </si>
  <si>
    <t>tests/e2e/e1-f02-portal-qe.spec.ts</t>
  </si>
  <si>
    <t>CP-S1-006: Navegación disponible</t>
  </si>
  <si>
    <t>Verificar que solo aparecen opciones de supervisión (equipo, historias supervisadas, perfil, cerrar sesión).</t>
  </si>
  <si>
    <t>El QE está en su portal. Sesión de Quality Engineer (QE) (carla.fuentes@quality360.local). Stack local con Supabase, servicios y datos semilla.</t>
  </si>
  <si>
    <t>1. Abrir el portal (http://localhost:5173) e iniciar sesión como Quality Engineer (QE).
2. Revisa el menú.
3. Verificar en pantalla el resultado esperado.</t>
  </si>
  <si>
    <t>CP-S1-007: Resumen con datos</t>
  </si>
  <si>
    <t>Verificar que se muestra la cantidad de analistas supervisados y de HDU bajo supervisión, con acceso a ambos listados.</t>
  </si>
  <si>
    <t>El QE tiene analistas e historias asignadas. Sesión de Quality Engineer (QE) (carla.fuentes@quality360.local). Stack local con Supabase, servicios y datos semilla.</t>
  </si>
  <si>
    <t>1. Abrir el portal (http://localhost:5173) e iniciar sesión como Quality Engineer (QE).
2. Ingresa al panel de inicio.
3. Verificar en pantalla el resultado esperado.</t>
  </si>
  <si>
    <t>tests/e2e/e1-f03-qe-inicio.spec.ts</t>
  </si>
  <si>
    <t>CP-S1-008: Sin datos</t>
  </si>
  <si>
    <t>Verificar que se informa explícitamente la ausencia de datos, sin mostrar cifras ficticias.</t>
  </si>
  <si>
    <t>El QE no tiene analistas ni historias asignadas. Sesión de Quality Engineer (QE) (carla.fuentes@quality360.local). Stack local con Supabase, servicios y datos semilla.</t>
  </si>
  <si>
    <t>CP-S1-009: Error de consulta</t>
  </si>
  <si>
    <t>Verificar que se diferencia el estado de error del estado de carga y de la ausencia de datos, con opción de reintentar.</t>
  </si>
  <si>
    <t>El servicio de resumen no responde. Sesión de Quality Engineer (QE) (carla.fuentes@quality360.local). Stack local con Supabase, servicios y datos semilla.</t>
  </si>
  <si>
    <t>tests/e2e/fuente-caida-inicio.spec.ts</t>
  </si>
  <si>
    <t>CP-S1-010: Listado vigente</t>
  </si>
  <si>
    <t>Verificar que se muestran únicamente los analistas con supervisión vigente, identificados por nombre y correo.</t>
  </si>
  <si>
    <t>El QE tiene relaciones de supervisión vigentes. Sesión de Quality Engineer (QE) (carla.fuentes@quality360.local). Stack local con Supabase, servicios y datos semilla.</t>
  </si>
  <si>
    <t>1. Abrir el portal (http://localhost:5173) e iniciar sesión como Quality Engineer (QE).
2. Abre la sección de analistas.
3. Verificar en pantalla el resultado esperado.</t>
  </si>
  <si>
    <t>tests/e2e/e1-f04-qe-equipo.spec.ts</t>
  </si>
  <si>
    <t>CP-S1-011: Relaciones finalizadas</t>
  </si>
  <si>
    <t>Verificar que el analista reasignado no aparece en el listado.</t>
  </si>
  <si>
    <t>Un analista fue reasignado a otro QE. Sesión de Quality Engineer (QE) (carla.fuentes@quality360.local). Stack local con Supabase, servicios y datos semilla.</t>
  </si>
  <si>
    <t>CP-S1-012: Sin analistas</t>
  </si>
  <si>
    <t>Verificar que se informa que no hay analistas asignados.</t>
  </si>
  <si>
    <t>El QE no tiene analistas asignados. Sesión de Quality Engineer (QE) (carla.fuentes@quality360.local). Stack local con Supabase, servicios y datos semilla.</t>
  </si>
  <si>
    <t>CP-S1-013: Redirección al portal QA</t>
  </si>
  <si>
    <t>Verificar que es dirigido a su portal, con su identidad y la navegación correspondiente.</t>
  </si>
  <si>
    <t>El usuario tiene rol Analista QA. Sesión de Analista QA (ana.torres@quality360.local). Stack local con Supabase, servicios y datos semilla.</t>
  </si>
  <si>
    <t>1. Abrir el portal (http://localhost:5173) e iniciar sesión como Analista QA.
2. Inicia sesión.
3. Verificar en pantalla el resultado esperado.</t>
  </si>
  <si>
    <t>tests/e2e/e1-f05-portal-qa.spec.ts
tests/e2e/login-redireccion-rol.spec.ts</t>
  </si>
  <si>
    <t>CP-S1-014: Sin funciones administrativas</t>
  </si>
  <si>
    <t>Verificar que no se presentan funciones administrativas ni de supervisión.</t>
  </si>
  <si>
    <t>El analista está en su portal. Sesión de Analista QA (ana.torres@quality360.local). Stack local con Supabase, servicios y datos semilla.</t>
  </si>
  <si>
    <t>1. Abrir el portal (http://localhost:5173) e iniciar sesión como Analista QA.
2. Revisa el menú y las rutas.
3. Verificar en pantalla el resultado esperado.</t>
  </si>
  <si>
    <t>tests/e2e/e1-f05-portal-qa.spec.ts</t>
  </si>
  <si>
    <t>CP-S1-015: Ruta no autorizada</t>
  </si>
  <si>
    <t>Verificar que se presenta acceso denegado o se redirige a su portal.</t>
  </si>
  <si>
    <t>El analista está autenticado. Sesión de Analista QA (ana.torres@quality360.local). Stack local con Supabase, servicios y datos semilla.</t>
  </si>
  <si>
    <t>1. Abrir el portal (http://localhost:5173) e iniciar sesión como Analista QA.
2. Intenta abrir una ruta de QE o Administrador.
3. Verificar en pantalla el resultado esperado.</t>
  </si>
  <si>
    <t>CP-S1-016: Panel con supervisor e historias</t>
  </si>
  <si>
    <t>Verificar que se muestra el nombre del QE supervisor y la cantidad de HDU asignadas, con acceso a sus historias.</t>
  </si>
  <si>
    <t>El analista tiene QE vigente e historias asignadas. Sesión de Analista QA (ana.torres@quality360.local). Stack local con Supabase, servicios y datos semilla.</t>
  </si>
  <si>
    <t>1. Abrir el portal (http://localhost:5173) e iniciar sesión como Analista QA.
2. Ingresa al panel de inicio.
3. Verificar en pantalla el resultado esperado.</t>
  </si>
  <si>
    <t>tests/e2e/e1-f06-qa-inicio.spec.ts</t>
  </si>
  <si>
    <t>CP-S1-017: Sin supervisor</t>
  </si>
  <si>
    <t>Verificar que se informa que no tiene supervisor asignado.</t>
  </si>
  <si>
    <t>El analista no tiene QE vigente. Sesión de Analista QA (ana.torres@quality360.local). Stack local con Supabase, servicios y datos semilla.</t>
  </si>
  <si>
    <t>CP-S1-018: Conteo no disponible</t>
  </si>
  <si>
    <t>Verificar que el portal indica que el conteo de historias todavía no está disponible.</t>
  </si>
  <si>
    <t>La capacidad de HDU (E2) aún no está habilitada. Sesión de Analista QA (ana.torres@quality360.local). Stack local con Supabase, servicios y datos semilla.</t>
  </si>
  <si>
    <t>CP-S1-019: Redirección al portal administrativo</t>
  </si>
  <si>
    <t>Verificar que es dirigido a su portal con los accesos administrativos habilitados.</t>
  </si>
  <si>
    <t>El usuario tiene rol Administrador. Sesión de Administrador (patricia.rojas@quality360.local). Stack local con Supabase, servicios y datos semilla.</t>
  </si>
  <si>
    <t>1. Abrir el portal (http://localhost:5173) e iniciar sesión como Administrador.
2. Inicia sesión.
3. Verificar en pantalla el resultado esperado.</t>
  </si>
  <si>
    <t>tests/e2e/e1-f07-portal-admin.spec.ts
tests/e2e/login-redireccion-rol.spec.ts</t>
  </si>
  <si>
    <t>CP-S1-020: Accesos habilitados</t>
  </si>
  <si>
    <t>Verificar que se presentan accesos a usuarios, roles y supervisión.</t>
  </si>
  <si>
    <t>El Administrador está en su portal. Sesión de Administrador (patricia.rojas@quality360.local). Stack local con Supabase, servicios y datos semilla.</t>
  </si>
  <si>
    <t>1. Abrir el portal (http://localhost:5173) e iniciar sesión como Administrador.
2. Revisa la navegación.
3. Verificar en pantalla el resultado esperado.</t>
  </si>
  <si>
    <t>tests/e2e/e1-f07-portal-admin.spec.ts</t>
  </si>
  <si>
    <t>CP-S1-021: Sesión expirada</t>
  </si>
  <si>
    <t>Verificar que se le solicita iniciar sesión nuevamente.</t>
  </si>
  <si>
    <t>La sesión del Administrador expiró. Sesión de Administrador (patricia.rojas@quality360.local). Stack local con Supabase, servicios y datos semilla.</t>
  </si>
  <si>
    <t>1. Abrir el portal (http://localhost:5173) e iniciar sesión como Administrador.
2. Intenta abrir el portal.
3. Verificar en pantalla el resultado esperado.</t>
  </si>
  <si>
    <t>CP-S1-022: Panel administrativo</t>
  </si>
  <si>
    <t>Verificar que se muestran accesos a gestión de usuarios, roles y supervisión.</t>
  </si>
  <si>
    <t>El Administrador ingresa a su panel. Sesión de Administrador (patricia.rojas@quality360.local). Stack local con Supabase, servicios y datos semilla.</t>
  </si>
  <si>
    <t>1. Abrir el portal (http://localhost:5173) e iniciar sesión como Administrador.
2. Visualiza el panel.
3. Verificar en pantalla el resultado esperado.</t>
  </si>
  <si>
    <t>tests/e2e/e1-f08-admin-inicio.spec.ts</t>
  </si>
  <si>
    <t>CP-S1-023: Error de carga</t>
  </si>
  <si>
    <t>Verificar que se informa el error de carga sin mostrar cifras ficticias.</t>
  </si>
  <si>
    <t>El servicio administrativo no responde. Sesión de Administrador (patricia.rojas@quality360.local). Stack local con Supabase, servicios y datos semilla.</t>
  </si>
  <si>
    <t>1. Abrir el portal (http://localhost:5173) e iniciar sesión como Administrador.
2. Ingresa al panel.
3. Verificar en pantalla el resultado esperado.</t>
  </si>
  <si>
    <t>CP-S1-024: Navegación directa</t>
  </si>
  <si>
    <t>Verificar que se abre la pantalla correspondiente.</t>
  </si>
  <si>
    <t>El Administrador está en el panel. Sesión de Administrador (patricia.rojas@quality360.local). Stack local con Supabase, servicios y datos semilla.</t>
  </si>
  <si>
    <t>1. Abrir el portal (http://localhost:5173) e iniciar sesión como Administrador.
2. Selecciona un acceso.
3. Verificar en pantalla el resultado esperado.</t>
  </si>
  <si>
    <t>CP-S1-025: Listar y buscar</t>
  </si>
  <si>
    <t>Verificar que se listan los usuarios y el buscador filtra los resultados.</t>
  </si>
  <si>
    <t>Existen usuarios registrados. Sesión de Administrador (patricia.rojas@quality360.local). Stack local con Supabase, servicios y datos semilla.</t>
  </si>
  <si>
    <t>1. Abrir el portal (http://localhost:5173) e iniciar sesión como Administrador.
2. Abre la pantalla de usuarios y busca por nombre o correo.
3. Verificar en pantalla el resultado esperado.</t>
  </si>
  <si>
    <t>tests/e2e/e1-f09-admin-usuarios.spec.ts</t>
  </si>
  <si>
    <t>CP-S1-026: Validación de datos</t>
  </si>
  <si>
    <t>Verificar que se validan los datos obligatorios y se indican los errores.</t>
  </si>
  <si>
    <t>El Administrador registra un usuario con datos incompletos. Sesión de Administrador (patricia.rojas@quality360.local). Stack local con Supabase, servicios y datos semilla.</t>
  </si>
  <si>
    <t>1. Abrir el portal (http://localhost:5173) e iniciar sesión como Administrador.
2. Guarda el formulario.
3. Verificar en pantalla el resultado esperado.</t>
  </si>
  <si>
    <t>CP-S1-027: Confirmación de cambios sensibles</t>
  </si>
  <si>
    <t>Verificar que se solicita confirmación previa y se muestra el resultado de la operación.</t>
  </si>
  <si>
    <t>El Administrador desactiva un usuario o cambia su rol. Sesión de Administrador (patricia.rojas@quality360.local). Stack local con Supabase, servicios y datos semilla.</t>
  </si>
  <si>
    <t>1. Abrir el portal (http://localhost:5173) e iniciar sesión como Administrador.
2. Confirma la operación.
3. Verificar en pantalla el resultado esperado.</t>
  </si>
  <si>
    <t>CP-S1-028: Selección de analista y QE</t>
  </si>
  <si>
    <t>Verificar que se muestra la relación vigente del analista antes de confirmar.</t>
  </si>
  <si>
    <t>Existen analistas y QE activos. Sesión de Administrador (patricia.rojas@quality360.local). Stack local con Supabase, servicios y datos semilla.</t>
  </si>
  <si>
    <t>1. Abrir el portal (http://localhost:5173) e iniciar sesión como Administrador.
2. Selecciona un analista y un QE.
3. Verificar en pantalla el resultado esperado.</t>
  </si>
  <si>
    <t>tests/e2e/e1-f10-admin-supervision.spec.ts</t>
  </si>
  <si>
    <t>CP-S1-029: Motivo del cambio</t>
  </si>
  <si>
    <t>Verificar que se solicita el motivo del cambio antes de guardar.</t>
  </si>
  <si>
    <t>El analista ya tiene un QE vigente. Sesión de Administrador (patricia.rojas@quality360.local). Stack local con Supabase, servicios y datos semilla.</t>
  </si>
  <si>
    <t>1. Abrir el portal (http://localhost:5173) e iniciar sesión como Administrador.
2. Asigna un nuevo QE.
3. Verificar en pantalla el resultado esperado.</t>
  </si>
  <si>
    <t>CP-S1-030: Historial de supervisión</t>
  </si>
  <si>
    <t>Verificar que se muestran las relaciones anteriores con fechas y motivos.</t>
  </si>
  <si>
    <t>El analista ha tenido varios supervisores. Sesión de Administrador (patricia.rojas@quality360.local). Stack local con Supabase, servicios y datos semilla.</t>
  </si>
  <si>
    <t>1. Abrir el portal (http://localhost:5173) e iniciar sesión como Administrador.
2. Consulta el historial.
3. Verificar en pantalla el resultado esperado.</t>
  </si>
  <si>
    <t>CP-S1-031: Datos del perfil</t>
  </si>
  <si>
    <t>Verificar que se muestran su nombre, correo y rol.</t>
  </si>
  <si>
    <t>El usuario está autenticado. Stack local con Supabase, servicios y datos semilla.</t>
  </si>
  <si>
    <t>1. Abrir el portal (http://localhost:5173).
2. Abre su perfil.
3. Verificar en pantalla el resultado esperado.</t>
  </si>
  <si>
    <t>tests/e2e/e1-f11-perfil.spec.ts</t>
  </si>
  <si>
    <t>CP-S1-032: Rol de solo lectura</t>
  </si>
  <si>
    <t>Verificar que el rol no es editable desde el perfil personal.</t>
  </si>
  <si>
    <t>El usuario está en su perfil. Stack local con Supabase, servicios y datos semilla.</t>
  </si>
  <si>
    <t>1. Abrir el portal (http://localhost:5173).
2. Intenta modificar el rol.
3. Verificar en pantalla el resultado esperado.</t>
  </si>
  <si>
    <t>CP-S1-033: Datos actualizados</t>
  </si>
  <si>
    <t>Verificar que se refleja el rol vigente.</t>
  </si>
  <si>
    <t>El Administrador cambió el rol del usuario. Stack local con Supabase, servicios y datos semilla.</t>
  </si>
  <si>
    <t>1. Abrir el portal (http://localhost:5173).
2. El usuario vuelve a abrir su perfil.
3. Verificar en pantalla el resultado esperado.</t>
  </si>
  <si>
    <t>CP-S1-034: Opción visible</t>
  </si>
  <si>
    <t>Verificar que la opción de cerrar sesión es visible desde cualquier pantalla.</t>
  </si>
  <si>
    <t>El usuario está en su portal. Stack local con Supabase, servicios y datos semilla.</t>
  </si>
  <si>
    <t>1. Abrir el portal (http://localhost:5173).
2. Busca la opción de salir.
3. Verificar en pantalla el resultado esperado.</t>
  </si>
  <si>
    <t>tests/e2e/e1-f12-cerrar-sesion.spec.ts</t>
  </si>
  <si>
    <t>CP-S1-035: Cierre efectivo</t>
  </si>
  <si>
    <t>Verificar que se muestra la pantalla de inicio de sesión.</t>
  </si>
  <si>
    <t>1. Abrir el portal (http://localhost:5173).
2. Presiona Cerrar sesión.
3. Verificar en pantalla el resultado esperado.</t>
  </si>
  <si>
    <t>CP-S1-036: Navegación hacia atrás</t>
  </si>
  <si>
    <t>Verificar que no se puede consultar información protegida sin autenticarse nuevamente.</t>
  </si>
  <si>
    <t>El usuario cerró sesión. Stack local con Supabase, servicios y datos semilla.</t>
  </si>
  <si>
    <t>1. Abrir el portal (http://localhost:5173).
2. Presiona volver atrás en el navegador.
3. Verificar en pantalla el resultado esperado.</t>
  </si>
  <si>
    <t>CP-S1-037: Credenciales válidas</t>
  </si>
  <si>
    <t>Verificar que se valida mediante el proveedor y se crea una sesión.</t>
  </si>
  <si>
    <t>El usuario está activo y registrado en el proveedor de autenticación. Stack local con Supabase, servicios y datos semilla.</t>
  </si>
  <si>
    <t>1. Preparar el contexto: el usuario está activo y registrado en el proveedor de autenticación.
2. Envía credenciales correctas a través del gateway o del proveedor de autenticación.
3. Verificar la respuesta (código HTTP y cuerpo) y los datos persistidos.</t>
  </si>
  <si>
    <t>API (Playwright) + E2E (Playwright)</t>
  </si>
  <si>
    <t>tests/api/e1-b01-credenciales.spec.ts
tests/e2e/e1-b01-login-ui.spec.ts</t>
  </si>
  <si>
    <t>CP-S1-038: Usuario inactivo</t>
  </si>
  <si>
    <t>Verificar que se rechaza el acceso sin revelar si el correo existe.</t>
  </si>
  <si>
    <t>El usuario fue desactivado. Stack local con Supabase, servicios y datos semilla.</t>
  </si>
  <si>
    <t>1. Preparar el contexto: el usuario fue desactivado.
2. Envía credenciales correctas a través del gateway o del proveedor de autenticación.
3. Verificar la respuesta (código HTTP y cuerpo) y los datos persistidos.</t>
  </si>
  <si>
    <t>Unitaria (Vitest) + API (Playwright) + E2E (Playwright)</t>
  </si>
  <si>
    <t>apps/web/src/test/login.test.tsx
tests/api/e1-b01-credenciales.spec.ts
tests/e2e/e1-b01-login-ui.spec.ts</t>
  </si>
  <si>
    <t>CP-S1-039: Intentos repetidos</t>
  </si>
  <si>
    <t>Verificar que se aplica protección frente a intentos repetidos de ingreso.</t>
  </si>
  <si>
    <t>Se registran múltiples intentos fallidos. Stack local con Supabase, servicios y datos semilla.</t>
  </si>
  <si>
    <t>1. Preparar el contexto: se registran múltiples intentos fallidos.
2. Envía un nuevo intento a través del gateway o del proveedor de autenticación.
3. Verificar la respuesta (código HTTP y cuerpo) y los datos persistidos.</t>
  </si>
  <si>
    <t>Aprobado con observación</t>
  </si>
  <si>
    <t>Certificado el 16-09-2026; re-ejecutado sin regresión el 16-10-2026. El límite de intentos lo aplica Supabase Auth: en local no existe y se verifica en la nube.</t>
  </si>
  <si>
    <t>CP-S1-040: Solicitud sin autenticación</t>
  </si>
  <si>
    <t>Verificar que la solicitud es rechazada.</t>
  </si>
  <si>
    <t>No hay sesión válida. Stack local con Supabase, servicios y datos semilla.</t>
  </si>
  <si>
    <t>1. Preparar el contexto: no hay sesión válida.
2. Se invoca una operación protegida a través del gateway o del proveedor de autenticación.
3. Verificar la respuesta (código HTTP y cuerpo) y los datos persistidos.</t>
  </si>
  <si>
    <t>API (Playwright)</t>
  </si>
  <si>
    <t>tests/api/e1-b02-ambito.spec.ts</t>
  </si>
  <si>
    <t>CP-S1-041: Ámbito de analista</t>
  </si>
  <si>
    <t>Verificar que se impide el acceso por ámbito.</t>
  </si>
  <si>
    <t>Un QA intenta consultar datos de otro analista. Stack local con Supabase, servicios y datos semilla.</t>
  </si>
  <si>
    <t>1. Preparar el contexto: un QA intenta consultar datos de otro analista.
2. Se invoca la consulta a través del gateway o del proveedor de autenticación.
3. Verificar la respuesta (código HTTP y cuerpo) y los datos persistidos.</t>
  </si>
  <si>
    <t>CP-S1-042: Ámbito de QE</t>
  </si>
  <si>
    <t>Verificar que se verifica sesión, rol y ámbito y se rechaza la solicitud.</t>
  </si>
  <si>
    <t>Un QE intenta consultar un equipo ajeno. Stack local con Supabase, servicios y datos semilla.</t>
  </si>
  <si>
    <t>1. Preparar el contexto: un QE intenta consultar un equipo ajeno.
2. Se invoca la consulta a través del gateway o del proveedor de autenticación.
3. Verificar la respuesta (código HTTP y cuerpo) y los datos persistidos.</t>
  </si>
  <si>
    <t>CP-S1-043: Cálculo sobre datos autorizados</t>
  </si>
  <si>
    <t>Verificar que se calculan cantidades solo sobre datos autorizados del QE.</t>
  </si>
  <si>
    <t>El QE tiene equipo e historias. Sesión de Quality Engineer (QE) (carla.fuentes@quality360.local). Stack local con Supabase, servicios y datos semilla.</t>
  </si>
  <si>
    <t>1. Preparar el contexto: el QE tiene equipo e historias.
2. Solicita el resumen a través del gateway o del proveedor de autenticación.
3. Verificar la respuesta (código HTTP y cuerpo) y los datos persistidos.</t>
  </si>
  <si>
    <t>tests/api/e1-b03-resumen-qe.spec.ts</t>
  </si>
  <si>
    <t>CP-S1-044: Consulta válida sin registros</t>
  </si>
  <si>
    <t>Verificar que se devuelve cero únicamente cuando la consulta válida no encuentra registros.</t>
  </si>
  <si>
    <t>El QE no tiene registros. Sesión de Quality Engineer (QE) (carla.fuentes@quality360.local). Stack local con Supabase, servicios y datos semilla.</t>
  </si>
  <si>
    <t>1. Preparar el contexto: el QE no tiene registros.
2. Solicita el resumen a través del gateway o del proveedor de autenticación.
3. Verificar la respuesta (código HTTP y cuerpo) y los datos persistidos.</t>
  </si>
  <si>
    <t>CP-S1-045: Fuente no disponible</t>
  </si>
  <si>
    <t>Verificar que se informa que una fuente necesaria no está disponible.</t>
  </si>
  <si>
    <t>La fuente de historias no responde. Sesión de Quality Engineer (QE) (carla.fuentes@quality360.local). Stack local con Supabase, servicios y datos semilla.</t>
  </si>
  <si>
    <t>1. Preparar el contexto: la fuente de historias no responde.
2. Solicita el resumen a través del gateway o del proveedor de autenticación.
3. Verificar la respuesta (código HTTP y cuerpo) y los datos persistidos.</t>
  </si>
  <si>
    <t>CP-S1-046: Relaciones vigentes</t>
  </si>
  <si>
    <t>Verificar que se devuelven solo relaciones vigentes, excluyendo las finalizadas.</t>
  </si>
  <si>
    <t>Existen relaciones activas y finalizadas. Sesión de Quality Engineer (QE) (carla.fuentes@quality360.local). Stack local con Supabase, servicios y datos semilla.</t>
  </si>
  <si>
    <t>1. Preparar el contexto: existen relaciones activas y finalizadas.
2. Solicita su equipo a través del gateway o del proveedor de autenticación.
3. Verificar la respuesta (código HTTP y cuerpo) y los datos persistidos.</t>
  </si>
  <si>
    <t>tests/api/e1-b04-equipo-qe.spec.ts</t>
  </si>
  <si>
    <t>CP-S1-047: Restricción al QE autenticado</t>
  </si>
  <si>
    <t>Verificar que se rechaza, salvo acceso administrativo autorizado.</t>
  </si>
  <si>
    <t>Un QE solicita el equipo de otro QE. Sesión de Quality Engineer (QE) (carla.fuentes@quality360.local). Stack local con Supabase, servicios y datos semilla.</t>
  </si>
  <si>
    <t>1. Preparar el contexto: un QE solicita el equipo de otro QE.
2. Invoca la consulta a través del gateway o del proveedor de autenticación.
3. Verificar la respuesta (código HTTP y cuerpo) y los datos persistidos.</t>
  </si>
  <si>
    <t>CP-S1-048: Acceso administrativo</t>
  </si>
  <si>
    <t>Verificar que se devuelve la información por estar autorizado.</t>
  </si>
  <si>
    <t>Un Administrador consulta el equipo de un QE. Sesión de Quality Engineer (QE) (carla.fuentes@quality360.local). Stack local con Supabase, servicios y datos semilla.</t>
  </si>
  <si>
    <t>1. Preparar el contexto: un Administrador consulta el equipo de un QE.
2. Invoca la consulta a través del gateway o del proveedor de autenticación.
3. Verificar la respuesta (código HTTP y cuerpo) y los datos persistidos.</t>
  </si>
  <si>
    <t>CP-S1-049: Supervisor e historias</t>
  </si>
  <si>
    <t>Verificar que se obtiene el supervisor vigente y las historias del analista autenticado.</t>
  </si>
  <si>
    <t>El analista tiene QE vigente e historias. Sesión de Analista QA (ana.torres@quality360.local). Stack local con Supabase, servicios y datos semilla.</t>
  </si>
  <si>
    <t>1. Preparar el contexto: el analista tiene QE vigente e historias.
2. Solicita su resumen a través del gateway o del proveedor de autenticación.
3. Verificar la respuesta (código HTTP y cuerpo) y los datos persistidos.</t>
  </si>
  <si>
    <t>tests/api/e1-b05-resumen-qa.spec.ts</t>
  </si>
  <si>
    <t>CP-S1-050: Ausencia de supervisor</t>
  </si>
  <si>
    <t>Verificar que se representa explícitamente la ausencia de supervisor.</t>
  </si>
  <si>
    <t>1. Preparar el contexto: el analista no tiene QE vigente.
2. Solicita su resumen a través del gateway o del proveedor de autenticación.
3. Verificar la respuesta (código HTTP y cuerpo) y los datos persistidos.</t>
  </si>
  <si>
    <t>CP-S1-051: Resumen de otro QA</t>
  </si>
  <si>
    <t>Verificar que se impide sin permiso.</t>
  </si>
  <si>
    <t>Un analista solicita el resumen de otro. Sesión de Analista QA (ana.torres@quality360.local). Stack local con Supabase, servicios y datos semilla.</t>
  </si>
  <si>
    <t>1. Preparar el contexto: un analista solicita el resumen de otro.
2. Invoca la consulta a través del gateway o del proveedor de autenticación.
3. Verificar la respuesta (código HTTP y cuerpo) y los datos persistidos.</t>
  </si>
  <si>
    <t>CP-S1-052: Solo acceso administrativo</t>
  </si>
  <si>
    <t>Verificar que se rechaza la solicitud.</t>
  </si>
  <si>
    <t>Un usuario no administrador solicita la información. Sesión de Administrador (patricia.rojas@quality360.local). Stack local con Supabase, servicios y datos semilla.</t>
  </si>
  <si>
    <t>1. Preparar el contexto: un usuario no administrador solicita la información.
2. Invoca la consulta a través del gateway o del proveedor de autenticación.
3. Verificar la respuesta (código HTTP y cuerpo) y los datos persistidos.</t>
  </si>
  <si>
    <t>tests/api/e1-b06-resumen-admin.spec.ts</t>
  </si>
  <si>
    <t>CP-S1-053: Información consistente</t>
  </si>
  <si>
    <t>Verificar que se devuelve información consistente con el registro de usuarios y supervisión.</t>
  </si>
  <si>
    <t>El Administrador solicita el resumen. Sesión de Administrador (patricia.rojas@quality360.local). Stack local con Supabase, servicios y datos semilla.</t>
  </si>
  <si>
    <t>1. Preparar el contexto: el Administrador solicita el resumen.
2. Invoca la consulta a través del gateway o del proveedor de autenticación.
3. Verificar la respuesta (código HTTP y cuerpo) y los datos persistidos.</t>
  </si>
  <si>
    <t>CP-S1-054: Datos recién modificados</t>
  </si>
  <si>
    <t>Verificar que el nuevo usuario se refleja en la información entregada.</t>
  </si>
  <si>
    <t>Se acaba de registrar un usuario. Sesión de Administrador (patricia.rojas@quality360.local). Stack local con Supabase, servicios y datos semilla.</t>
  </si>
  <si>
    <t>1. Preparar el contexto: se acaba de registrar un usuario.
2. Invoca la consulta a través del gateway o del proveedor de autenticación.
3. Verificar la respuesta (código HTTP y cuerpo) y los datos persistidos.</t>
  </si>
  <si>
    <t>CP-S1-055: Correo único</t>
  </si>
  <si>
    <t>Verificar que se rechaza por unicidad del correo tras validar campos.</t>
  </si>
  <si>
    <t>Ya existe un usuario con el mismo correo. Sesión de Administrador (patricia.rojas@quality360.local). Stack local con Supabase, servicios y datos semilla.</t>
  </si>
  <si>
    <t>1. Preparar el contexto: ya existe un usuario con el mismo correo.
2. Registra un nuevo usuario a través del gateway o del proveedor de autenticación.
3. Verificar la respuesta (código HTTP y cuerpo) y los datos persistidos.</t>
  </si>
  <si>
    <t>tests/api/e1-b07-registro-usuarios.spec.ts</t>
  </si>
  <si>
    <t>CP-S1-056: Identificador estable</t>
  </si>
  <si>
    <t>Verificar que el identificador interno se mantiene estable y se coordina con el proveedor de autenticación.</t>
  </si>
  <si>
    <t>Se actualiza el correo de un usuario. Sesión de Administrador (patricia.rojas@quality360.local). Stack local con Supabase, servicios y datos semilla.</t>
  </si>
  <si>
    <t>1. Preparar el contexto: se actualiza el correo de un usuario.
2. Guarda los cambios a través del gateway o del proveedor de autenticación.
3. Verificar la respuesta (código HTTP y cuerpo) y los datos persistidos.</t>
  </si>
  <si>
    <t>CP-S1-057: Usuario desactivado</t>
  </si>
  <si>
    <t>Verificar que se impiden nuevas operaciones protegidas.</t>
  </si>
  <si>
    <t>Un usuario fue desactivado. Sesión de Administrador (patricia.rojas@quality360.local). Stack local con Supabase, servicios y datos semilla.</t>
  </si>
  <si>
    <t>1. Preparar el contexto: un usuario fue desactivado.
2. Intenta una operación protegida a través del gateway o del proveedor de autenticación.
3. Verificar la respuesta (código HTTP y cuerpo) y los datos persistidos.</t>
  </si>
  <si>
    <t>CP-S1-058: Rol definido</t>
  </si>
  <si>
    <t>Verificar que se aceptan únicamente roles definidos.</t>
  </si>
  <si>
    <t>Se envía un rol fuera del catálogo. Sesión de Administrador (patricia.rojas@quality360.local). Stack local con Supabase, servicios y datos semilla.</t>
  </si>
  <si>
    <t>1. Preparar el contexto: se envía un rol fuera del catálogo.
2. Asigna el rol a través del gateway o del proveedor de autenticación.
3. Verificar la respuesta (código HTTP y cuerpo) y los datos persistidos.</t>
  </si>
  <si>
    <t>tests/api/e1-b08-cambio-rol.spec.ts</t>
  </si>
  <si>
    <t>CP-S1-059: Último administrador</t>
  </si>
  <si>
    <t>Verificar que se evita dejar la plataforma sin administradores activos.</t>
  </si>
  <si>
    <t>Existe un solo administrador activo. Sesión de Administrador (patricia.rojas@quality360.local). Stack local con Supabase, servicios y datos semilla.</t>
  </si>
  <si>
    <t>1. Preparar el contexto: existe un solo administrador activo.
2. Intenta cambiar su rol a través del gateway o del proveedor de autenticación.
3. Verificar la respuesta (código HTTP y cuerpo) y los datos persistidos.</t>
  </si>
  <si>
    <t>CP-S1-060: Relaciones incompatibles</t>
  </si>
  <si>
    <t>Verificar que se exige resolver las relaciones incompatibles antes de cambiar el rol.</t>
  </si>
  <si>
    <t>Un QE con analistas supervisados cambia a rol QA. Sesión de Administrador (patricia.rojas@quality360.local). Stack local con Supabase, servicios y datos semilla.</t>
  </si>
  <si>
    <t>1. Preparar el contexto: un QE con analistas supervisados cambia a rol QA.
2. Intenta cambiar el rol a través del gateway o del proveedor de autenticación.
3. Verificar la respuesta (código HTTP y cuerpo) y los datos persistidos.</t>
  </si>
  <si>
    <t>CP-S1-061: Validación de roles</t>
  </si>
  <si>
    <t>Verificar que se rechaza: el supervisor debe ser QE y el supervisado QA, ambos activos.</t>
  </si>
  <si>
    <t>Se intenta asignar como supervisor a un usuario que no es QE o inactivo. Sesión de Administrador (patricia.rojas@quality360.local). Stack local con Supabase, servicios y datos semilla.</t>
  </si>
  <si>
    <t>1. Preparar el contexto: se intenta asignar como supervisor a un usuario que no es QE o inactivo.
2. Registra la relación a través del gateway o del proveedor de autenticación.
3. Verificar la respuesta (código HTTP y cuerpo) y los datos persistidos.</t>
  </si>
  <si>
    <t>tests/api/e1-b09-supervision.spec.ts</t>
  </si>
  <si>
    <t>CP-S1-062: Un QE vigente por analista</t>
  </si>
  <si>
    <t>Verificar que se finaliza la relación anterior y se crea la nueva en una misma transacción.</t>
  </si>
  <si>
    <t>El analista ya tiene un QE. Sesión de Administrador (patricia.rojas@quality360.local). Stack local con Supabase, servicios y datos semilla.</t>
  </si>
  <si>
    <t>1. Preparar el contexto: el analista ya tiene un QE.
2. Registra un nuevo QE a través del gateway o del proveedor de autenticación.
3. Verificar la respuesta (código HTTP y cuerpo) y los datos persistidos.</t>
  </si>
  <si>
    <t>CP-S1-063: Varios analistas por QE</t>
  </si>
  <si>
    <t>Verificar que se permite la relación adicional.</t>
  </si>
  <si>
    <t>El QE ya supervisa analistas. Sesión de Administrador (patricia.rojas@quality360.local). Stack local con Supabase, servicios y datos semilla.</t>
  </si>
  <si>
    <t>1. Preparar el contexto: el QE ya supervisa analistas.
2. Se le asigna otro analista a través del gateway o del proveedor de autenticación.
3. Verificar la respuesta (código HTTP y cuerpo) y los datos persistidos.</t>
  </si>
  <si>
    <t>CP-S1-064: Identidad desde la sesión</t>
  </si>
  <si>
    <t>Verificar que la identidad se obtiene desde la sesión validada.</t>
  </si>
  <si>
    <t>El usuario tiene sesión válida. Stack local con Supabase, servicios y datos semilla.</t>
  </si>
  <si>
    <t>1. Preparar el contexto: el usuario tiene sesión válida.
2. Solicita su perfil a través del gateway o del proveedor de autenticación.
3. Verificar la respuesta (código HTTP y cuerpo) y los datos persistidos.</t>
  </si>
  <si>
    <t>tests/api/e1-b10-perfil.spec.ts</t>
  </si>
  <si>
    <t>CP-S1-065: Datos mínimos</t>
  </si>
  <si>
    <t>Verificar que se devuelven únicamente los datos necesarios.</t>
  </si>
  <si>
    <t>El usuario solicita su perfil. Stack local con Supabase, servicios y datos semilla.</t>
  </si>
  <si>
    <t>1. Preparar el contexto: el usuario solicita su perfil.
2. Recibe la respuesta a través del gateway o del proveedor de autenticación.
3. Verificar la respuesta (código HTTP y cuerpo) y los datos persistidos.</t>
  </si>
  <si>
    <t>CP-S1-066: Sin secretos</t>
  </si>
  <si>
    <t>Verificar que no se exponen contraseñas, secretos ni credenciales.</t>
  </si>
  <si>
    <t>CP-S1-067: Sesión expirada</t>
  </si>
  <si>
    <t>La sesión superó su vigencia. Stack local con Supabase, servicios y datos semilla.</t>
  </si>
  <si>
    <t>1. Preparar el contexto: la sesión superó su vigencia.
2. Invoca una operación protegida a través del gateway o del proveedor de autenticación.
3. Verificar la respuesta (código HTTP y cuerpo) y los datos persistidos.</t>
  </si>
  <si>
    <t>tests/api/e1-b11-sesion.spec.ts
tests/e2e/e1-b11-sesion-ui.spec.ts</t>
  </si>
  <si>
    <t>CP-S1-068: Cierre de sesión</t>
  </si>
  <si>
    <t>Verificar que se invalida la sesión de aplicación y se impide su renovación.</t>
  </si>
  <si>
    <t>El usuario cierra sesión. Stack local con Supabase, servicios y datos semilla.</t>
  </si>
  <si>
    <t>1. Preparar el contexto: el usuario cierra sesión.
2. Invoca el cierre a través del gateway o del proveedor de autenticación.
3. Verificar la respuesta (código HTTP y cuerpo) y los datos persistidos.</t>
  </si>
  <si>
    <t>tests/api/e1-b11-sesion.spec.ts</t>
  </si>
  <si>
    <t>CP-S1-069: Revocación en el proveedor</t>
  </si>
  <si>
    <t>Verificar que el alcance de revocación del proveedor queda definido y probado.</t>
  </si>
  <si>
    <t>Se cierra la sesión. Stack local con Supabase, servicios y datos semilla.</t>
  </si>
  <si>
    <t>1. Preparar el contexto: se cierra la sesión.
2. Se evalúa el proveedor de autenticación a través del gateway o del proveedor de autenticación.
3. Verificar la respuesta (código HTTP y cuerpo) y los datos persistidos.</t>
  </si>
  <si>
    <t>CP-S1-070: Registro de auditoría</t>
  </si>
  <si>
    <t>Verificar que se registra actor, fecha, operación, recurso y cambios relevantes.</t>
  </si>
  <si>
    <t>Se modifica un usuario, rol o supervisión. Sesión de Administrador (patricia.rojas@quality360.local). Stack local con Supabase, servicios y datos semilla.</t>
  </si>
  <si>
    <t>1. Preparar el contexto: se modifica un usuario, rol o supervisión.
2. Se confirma la operación a través del gateway o del proveedor de autenticación.
3. Verificar la respuesta (código HTTP y cuerpo) y los datos persistidos.</t>
  </si>
  <si>
    <t>tests/api/e1-b12-auditoria.spec.ts</t>
  </si>
  <si>
    <t>CP-S1-071: Motivo en supervisión</t>
  </si>
  <si>
    <t>Verificar que se conserva el motivo del cambio.</t>
  </si>
  <si>
    <t>Se cambia el QE de un analista. Sesión de Administrador (patricia.rojas@quality360.local). Stack local con Supabase, servicios y datos semilla.</t>
  </si>
  <si>
    <t>1. Preparar el contexto: se cambia el QE de un analista.
2. Se confirma el cambio a través del gateway o del proveedor de autenticación.
3. Verificar la respuesta (código HTTP y cuerpo) y los datos persistidos.</t>
  </si>
  <si>
    <t>CP-S1-072: Datos sensibles</t>
  </si>
  <si>
    <t>Verificar que se excluyen contraseñas y tokens de los registros.</t>
  </si>
  <si>
    <t>Se registra un cambio de credenciales. Sesión de Administrador (patricia.rojas@quality360.local). Stack local con Supabase, servicios y datos semilla.</t>
  </si>
  <si>
    <t>1. Preparar el contexto: se registra un cambio de credenciales.
2. Se genera el registro a través del gateway o del proveedor de autenticación.
3. Verificar la respuesta (código HTTP y cuerpo) y los datos persistidos.</t>
  </si>
  <si>
    <t>Casos de prueba · Sprint 2 · Épica 2: gestión de historias de usuario (HDU)</t>
  </si>
  <si>
    <t>CP-S2-001: Registro exitoso</t>
  </si>
  <si>
    <t>Verificar que la HDU se crea en estado Pendiente y aparece en el listado.</t>
  </si>
  <si>
    <t>El QE completa el formulario con datos válidos. Sesión de Quality Engineer (QE) (carla.fuentes@quality360.local). Stack local con Supabase, servicios y datos semilla.</t>
  </si>
  <si>
    <t>1. Abrir el portal (http://localhost:5173) e iniciar sesión como Quality Engineer (QE).
2. Presiona Guardar.
3. Verificar en pantalla el resultado esperado.</t>
  </si>
  <si>
    <t>tests/e2e/e2-f01-crear-hdu.spec.ts</t>
  </si>
  <si>
    <t>CP-S2-002: Datos obligatorios</t>
  </si>
  <si>
    <t>Verificar que se indican los campos faltantes y no se crea la HDU.</t>
  </si>
  <si>
    <t>Faltan el identificador o el título. Sesión de Quality Engineer (QE) (carla.fuentes@quality360.local). Stack local con Supabase, servicios y datos semilla.</t>
  </si>
  <si>
    <t>CP-S2-003: Identificador duplicado</t>
  </si>
  <si>
    <t>Verificar que se informa el duplicado y se solicita corregirlo.</t>
  </si>
  <si>
    <t>Ya existe una HDU con el mismo identificador. Sesión de Quality Engineer (QE) (carla.fuentes@quality360.local). Stack local con Supabase, servicios y datos semilla.</t>
  </si>
  <si>
    <t>CP-S2-004: Asignación desde mi equipo</t>
  </si>
  <si>
    <t>Verificar que la HDU queda asignada y visible para ese analista.</t>
  </si>
  <si>
    <t>El QE abre una HDU sin analista. Sesión de Quality Engineer (QE) (carla.fuentes@quality360.local). Stack local con Supabase, servicios y datos semilla.</t>
  </si>
  <si>
    <t>1. Abrir el portal (http://localhost:5173) e iniciar sesión como Quality Engineer (QE).
2. Selecciona un analista supervisado.
3. Verificar en pantalla el resultado esperado.</t>
  </si>
  <si>
    <t>tests/e2e/e2-f02-asignar-analista.spec.ts</t>
  </si>
  <si>
    <t>CP-S2-005: Analista fuera del equipo</t>
  </si>
  <si>
    <t>Verificar que solo se listan analistas de su equipo.</t>
  </si>
  <si>
    <t>El QE busca un analista que no supervisa. Sesión de Quality Engineer (QE) (carla.fuentes@quality360.local). Stack local con Supabase, servicios y datos semilla.</t>
  </si>
  <si>
    <t>1. Abrir el portal (http://localhost:5173) e iniciar sesión como Quality Engineer (QE).
2. Despliega el selector.
3. Verificar en pantalla el resultado esperado.</t>
  </si>
  <si>
    <t>CP-S2-006: Reasignación</t>
  </si>
  <si>
    <t>Verificar que se solicita confirmación y se registra el cambio.</t>
  </si>
  <si>
    <t>La HDU ya tiene analista. Sesión de Quality Engineer (QE) (carla.fuentes@quality360.local). Stack local con Supabase, servicios y datos semilla.</t>
  </si>
  <si>
    <t>1. Abrir el portal (http://localhost:5173) e iniciar sesión como Quality Engineer (QE).
2. Selecciona otro analista y confirma.
3. Verificar en pantalla el resultado esperado.</t>
  </si>
  <si>
    <t>CP-S2-007: Listado filtrado</t>
  </si>
  <si>
    <t>Verificar que se muestran solo las HDU del sprint elegido.</t>
  </si>
  <si>
    <t>El analista tiene HDU en varios sprints. Sesión de Analista QA (ana.torres@quality360.local). Stack local con Supabase, servicios y datos semilla.</t>
  </si>
  <si>
    <t>1. Abrir el portal (http://localhost:5173) e iniciar sesión como Analista QA.
2. Aplica el filtro por sprint.
3. Verificar en pantalla el resultado esperado.</t>
  </si>
  <si>
    <t>tests/e2e/e2-f03-listado-hdu.spec.ts</t>
  </si>
  <si>
    <t>CP-S2-008: Sin resultados</t>
  </si>
  <si>
    <t>Verificar que se informa que no hay HDU con esos criterios.</t>
  </si>
  <si>
    <t>Ningún registro cumple los filtros. Sesión de Analista QA (ana.torres@quality360.local). Stack local con Supabase, servicios y datos semilla.</t>
  </si>
  <si>
    <t>1. Abrir el portal (http://localhost:5173) e iniciar sesión como Analista QA.
2. Aplica los filtros.
3. Verificar en pantalla el resultado esperado.</t>
  </si>
  <si>
    <t>CP-S2-009: Solo mis historias</t>
  </si>
  <si>
    <t>Verificar que solo aparecen HDU asignadas a él.</t>
  </si>
  <si>
    <t>El analista consulta el listado. Sesión de Analista QA (ana.torres@quality360.local). Stack local con Supabase, servicios y datos semilla.</t>
  </si>
  <si>
    <t>1. Abrir el portal (http://localhost:5173) e iniciar sesión como Analista QA.
2. Visualiza los resultados.
3. Verificar en pantalla el resultado esperado.</t>
  </si>
  <si>
    <t>CP-S2-010: Detalle completo</t>
  </si>
  <si>
    <t>Verificar que se muestran datos, QE, analista, estado, célula, sprint y avance del checklist.</t>
  </si>
  <si>
    <t>El usuario tiene acceso a la HDU. Stack local con Supabase, servicios y datos semilla.</t>
  </si>
  <si>
    <t>1. Abrir el portal (http://localhost:5173).
2. Abre el detalle.
3. Verificar en pantalla el resultado esperado.</t>
  </si>
  <si>
    <t>tests/e2e/e2-f04-detalle-hdu.spec.ts</t>
  </si>
  <si>
    <t>CP-S2-011: HDU sin acceso</t>
  </si>
  <si>
    <t>Verificar que se presenta acceso denegado.</t>
  </si>
  <si>
    <t>El usuario no está relacionado con la HDU. Stack local con Supabase, servicios y datos semilla.</t>
  </si>
  <si>
    <t>1. Abrir el portal (http://localhost:5173).
2. Intenta abrir el detalle.
3. Verificar en pantalla el resultado esperado.</t>
  </si>
  <si>
    <t>CP-S2-012: Cambio de estado</t>
  </si>
  <si>
    <t>Verificar que se actualiza el estado y se muestra la fecha del cambio.</t>
  </si>
  <si>
    <t>El usuario autorizado está en el detalle. Stack local con Supabase, servicios y datos semilla.</t>
  </si>
  <si>
    <t>1. Abrir el portal (http://localhost:5173).
2. Cambia el estado a uno válido.
3. Verificar en pantalla el resultado esperado.</t>
  </si>
  <si>
    <t>CP-S2-013: Creación persistente</t>
  </si>
  <si>
    <t>Verificar que se almacena con célula, sprint, prioridad, QE creador y fecha.</t>
  </si>
  <si>
    <t>Se recibe una HDU válida. Sesión de Quality Engineer (QE) (carla.fuentes@quality360.local). Stack local con Supabase, servicios y datos semilla.</t>
  </si>
  <si>
    <t>1. Preparar el contexto: se recibe una HDU válida.
2. Se procesa la creación a través del gateway o del proveedor de autenticación.
3. Verificar la respuesta (código HTTP y cuerpo) y los datos persistidos.</t>
  </si>
  <si>
    <t>tests/api/e2-b01-persistencia-hdu.spec.ts</t>
  </si>
  <si>
    <t>CP-S2-014: Validación de esquema</t>
  </si>
  <si>
    <t>Verificar que se rechaza indicando los errores de validación.</t>
  </si>
  <si>
    <t>Se reciben datos inválidos. Sesión de Quality Engineer (QE) (carla.fuentes@quality360.local). Stack local con Supabase, servicios y datos semilla.</t>
  </si>
  <si>
    <t>1. Preparar el contexto: se reciben datos inválidos.
2. Se procesa la solicitud a través del gateway o del proveedor de autenticación.
3. Verificar la respuesta (código HTTP y cuerpo) y los datos persistidos.</t>
  </si>
  <si>
    <t>CP-S2-015: Unicidad</t>
  </si>
  <si>
    <t>Verificar que se rechaza por duplicidad.</t>
  </si>
  <si>
    <t>El identificador ya existe. Sesión de Quality Engineer (QE) (carla.fuentes@quality360.local). Stack local con Supabase, servicios y datos semilla.</t>
  </si>
  <si>
    <t>1. Preparar el contexto: el identificador ya existe.
2. Se procesa la creación a través del gateway o del proveedor de autenticación.
3. Verificar la respuesta (código HTTP y cuerpo) y los datos persistidos.</t>
  </si>
  <si>
    <t>CP-S2-016: Transición válida</t>
  </si>
  <si>
    <t>Verificar que se acepta y registra la transición.</t>
  </si>
  <si>
    <t>La HDU está en Pendiente. Sesión de Quality Engineer (QE) (carla.fuentes@quality360.local). Stack local con Supabase, servicios y datos semilla.</t>
  </si>
  <si>
    <t>1. Preparar el contexto: la HDU está en Pendiente.
2. Se solicita pasar a Diseño de pruebas a través del gateway o del proveedor de autenticación.
3. Verificar la respuesta (código HTTP y cuerpo) y los datos persistidos.</t>
  </si>
  <si>
    <t>tests/api/e2-b02-transiciones-estado.spec.ts</t>
  </si>
  <si>
    <t>CP-S2-017: Transición inválida</t>
  </si>
  <si>
    <t>Verificar que se rechaza indicando las transiciones permitidas.</t>
  </si>
  <si>
    <t>1. Preparar el contexto: la HDU está en Pendiente.
2. Se solicita pasar a Cerrada a través del gateway o del proveedor de autenticación.
3. Verificar la respuesta (código HTTP y cuerpo) y los datos persistidos.</t>
  </si>
  <si>
    <t>CP-S2-018: Cierre con checklist incompleto</t>
  </si>
  <si>
    <t>Verificar que se rechaza hasta completar el checklist.</t>
  </si>
  <si>
    <t>Faltan entregables por completar. Sesión de Quality Engineer (QE) (carla.fuentes@quality360.local). Stack local con Supabase, servicios y datos semilla.</t>
  </si>
  <si>
    <t>1. Preparar el contexto: faltan entregables por completar.
2. Se solicita el estado Cerrada a través del gateway o del proveedor de autenticación.
3. Verificar la respuesta (código HTTP y cuerpo) y los datos persistidos.</t>
  </si>
  <si>
    <t>CP-S2-019: Analista</t>
  </si>
  <si>
    <t>Verificar que se devuelven solo HDU con analistaId igual al usuario.</t>
  </si>
  <si>
    <t>Un QA consulta el listado. Sesión de Analista QA (ana.torres@quality360.local). Stack local con Supabase, servicios y datos semilla.</t>
  </si>
  <si>
    <t>1. Preparar el contexto: un QA consulta el listado.
2. Se procesa la consulta a través del gateway o del proveedor de autenticación.
3. Verificar la respuesta (código HTTP y cuerpo) y los datos persistidos.</t>
  </si>
  <si>
    <t>tests/api/e2-b03-ambito-hdu.spec.ts</t>
  </si>
  <si>
    <t>CP-S2-020: QE</t>
  </si>
  <si>
    <t>Verificar que se devuelven HDU donde es responsable o de sus analistas.</t>
  </si>
  <si>
    <t>Un QE consulta el listado. Sesión de Analista QA (ana.torres@quality360.local). Stack local con Supabase, servicios y datos semilla.</t>
  </si>
  <si>
    <t>1. Preparar el contexto: un QE consulta el listado.
2. Se procesa la consulta a través del gateway o del proveedor de autenticación.
3. Verificar la respuesta (código HTTP y cuerpo) y los datos persistidos.</t>
  </si>
  <si>
    <t>CP-S2-021: Administrador</t>
  </si>
  <si>
    <t>Verificar que se devuelven todas las HDU.</t>
  </si>
  <si>
    <t>Un Administrador consulta el listado. Sesión de Analista QA (ana.torres@quality360.local). Stack local con Supabase, servicios y datos semilla.</t>
  </si>
  <si>
    <t>1. Preparar el contexto: un Administrador consulta el listado.
2. Se procesa la consulta a través del gateway o del proveedor de autenticación.
3. Verificar la respuesta (código HTTP y cuerpo) y los datos persistidos.</t>
  </si>
  <si>
    <t>CP-S2-022: Historial de estado</t>
  </si>
  <si>
    <t>Verificar que se registra estado anterior, nuevo, actor y fecha.</t>
  </si>
  <si>
    <t>Cambia el estado de una HDU. Sesión de Administrador (patricia.rojas@quality360.local). Stack local con Supabase, servicios y datos semilla.</t>
  </si>
  <si>
    <t>1. Preparar el contexto: cambia el estado de una HDU.
2. Se confirma el cambio a través del gateway o del proveedor de autenticación.
3. Verificar la respuesta (código HTTP y cuerpo) y los datos persistidos.</t>
  </si>
  <si>
    <t>tests/api/e2-b04-historial-hdu.spec.ts</t>
  </si>
  <si>
    <t>CP-S2-023: Historial de asignación</t>
  </si>
  <si>
    <t>Verificar que se registra el analista anterior, el nuevo y el motivo.</t>
  </si>
  <si>
    <t>Se reasigna el analista. Sesión de Administrador (patricia.rojas@quality360.local). Stack local con Supabase, servicios y datos semilla.</t>
  </si>
  <si>
    <t>1. Preparar el contexto: se reasigna el analista.
2. Se confirma el cambio a través del gateway o del proveedor de autenticación.
3. Verificar la respuesta (código HTTP y cuerpo) y los datos persistidos.</t>
  </si>
  <si>
    <t>CP-S2-024: Consulta del historial</t>
  </si>
  <si>
    <t>Verificar que se devuelve en orden cronológico.</t>
  </si>
  <si>
    <t>Un usuario autorizado solicita el historial. Sesión de Administrador (patricia.rojas@quality360.local). Stack local con Supabase, servicios y datos semilla.</t>
  </si>
  <si>
    <t>1. Preparar el contexto: un usuario autorizado solicita el historial.
2. Se procesa la consulta a través del gateway o del proveedor de autenticación.
3. Verificar la respuesta (código HTTP y cuerpo) y los datos persistidos.</t>
  </si>
  <si>
    <t>Casos de prueba · Sprint 3 (actual) · Épica 3: certificación y entregables, más el rediseño del inicio de sesión y la recuperación de contraseña (E1-F13, E1-B13)</t>
  </si>
  <si>
    <t>CP-S3-001: Solicitud del enlace</t>
  </si>
  <si>
    <t>Verificar que se valida que el correo sea obligatorio y tenga formato válido, y se muestra siempre la misma confirmación, sin revelar si el correo está registrado.</t>
  </si>
  <si>
    <t>El usuario está en la pantalla de inicio de sesión. Stack local con Supabase, servicios y datos semilla.</t>
  </si>
  <si>
    <t>1. Abrir el portal (http://localhost:5173).
2. Selecciona «¿Olvidaste tu contraseña?», ingresa su correo y presiona Enviar enlace.
3. Verificar en pantalla el resultado esperado.</t>
  </si>
  <si>
    <t>apps/web/src/test/login.test.tsx
apps/web/src/test/recuperacion.test.tsx
tests/e2e/recuperacion-contrasena-ui.spec.ts</t>
  </si>
  <si>
    <t>Certificado el 16-10-2026 (docs/validacion/certificacion-login.md).</t>
  </si>
  <si>
    <t>CP-S3-002: Nueva contraseña</t>
  </si>
  <si>
    <t>Verificar que se exige un mínimo de 8 caracteres y que ambas coincidan. Al guardar, se cierra la sesión de recuperación y el usuario vuelve al inicio de sesión con un aviso de contraseña actualizada.</t>
  </si>
  <si>
    <t>El usuario abre el enlace recibido por correo. Stack local con Supabase, servicios y datos semilla.</t>
  </si>
  <si>
    <t>1. Abrir el portal (http://localhost:5173).
2. Ingresa y repite la nueva contraseña y presiona Guardar.
3. Verificar en pantalla el resultado esperado.</t>
  </si>
  <si>
    <t>apps/web/src/test/errorAcceso.test.ts
apps/web/src/test/recuperacion.test.tsx
tests/e2e/recuperacion-contrasena-ui.spec.ts</t>
  </si>
  <si>
    <t>CP-S3-003: Enlace inválido o ya usado</t>
  </si>
  <si>
    <t>Verificar que se informa que el enlace no es válido y se ofrece solicitar uno nuevo, sin dar acceso al portal.</t>
  </si>
  <si>
    <t>El enlace expiró o ya fue utilizado. Stack local con Supabase, servicios y datos semilla.</t>
  </si>
  <si>
    <t>1. Abrir el portal (http://localhost:5173).
2. El usuario lo abre.
3. Verificar en pantalla el resultado esperado.</t>
  </si>
  <si>
    <t>CP-S3-004: Envío del enlace</t>
  </si>
  <si>
    <t>Verificar que solo si el correo está registrado se envía un enlace de un solo uso, válido por un tiempo limitado. La respuesta es idéntica para correos registrados e inexistentes.</t>
  </si>
  <si>
    <t>Se solicita la recuperación para un correo. Stack local con Supabase, servicios y datos semilla.</t>
  </si>
  <si>
    <t>1. Preparar el contexto: se solicita la recuperación para un correo.
2. El proveedor de autenticación procesa la solicitud a través del gateway o del proveedor de autenticación.
3. Verificar la respuesta (código HTTP y cuerpo) y los datos persistidos.</t>
  </si>
  <si>
    <t>apps/web/src/test/recuperacionSupabase.test.ts
tests/api/recuperacion-contrasena.spec.ts
tests/e2e/recuperacion-contrasena-ui.spec.ts</t>
  </si>
  <si>
    <t>CP-S3-005: Cambio de contraseña</t>
  </si>
  <si>
    <t>Verificar que la contraseña anterior deja de ser válida, las sesiones previas no pueden renovarse y la sesión de recuperación no habilita el acceso al portal.</t>
  </si>
  <si>
    <t>Se usa un enlace válido. Stack local con Supabase, servicios y datos semilla.</t>
  </si>
  <si>
    <t>1. Preparar el contexto: se usa un enlace válido.
2. Se fija la nueva contraseña a través del gateway o del proveedor de autenticación.
3. Verificar la respuesta (código HTTP y cuerpo) y los datos persistidos.</t>
  </si>
  <si>
    <t>tests/api/recuperacion-contrasena.spec.ts
tests/e2e/recuperacion-contrasena-ui.spec.ts</t>
  </si>
  <si>
    <t>CP-S3-006: Redirección y abuso</t>
  </si>
  <si>
    <t>Verificar que solo se redirige a direcciones autorizadas y se limita la frecuencia de envíos, sin revelar si el correo existe.</t>
  </si>
  <si>
    <t>Se solicita con una dirección de retorno no autorizada o se repiten las solicitudes. Stack local con Supabase, servicios y datos semilla.</t>
  </si>
  <si>
    <t>1. Preparar el contexto: se solicita con una dirección de retorno no autorizada o se repiten las solicitudes.
2. El proveedor procesa la solicitud a través del gateway o del proveedor de autenticación.
3. Verificar la respuesta (código HTTP y cuerpo) y los datos persistidos.</t>
  </si>
  <si>
    <t>Certificado el 16-10-2026 (docs/validacion/certificacion-login.md). Redirección verificada; el límite de envíos de la nube queda pendiente.</t>
  </si>
  <si>
    <t>CP-S3-007: Checklist completo</t>
  </si>
  <si>
    <t>Verificar que se muestran los 10 entregables en orden, con estado, responsable y fecha de cada uno.</t>
  </si>
  <si>
    <t>El analista abre una HDU. Sesión de Analista QA (ana.torres@quality360.local). Stack local con Supabase, servicios y datos semilla.</t>
  </si>
  <si>
    <t>1. Abrir el portal (http://localhost:5173) e iniciar sesión como Analista QA.
2. Visualiza el checklist.
3. Verificar en pantalla el resultado esperado.</t>
  </si>
  <si>
    <t>tests/e2e/e3-f01-checklist.spec.ts</t>
  </si>
  <si>
    <t>Certificado el 17-09-2026; re-ejecutado sin regresión tras el modelo de datos (12-10-2026) y el 16-10-2026.</t>
  </si>
  <si>
    <t>CP-S3-008: Porcentaje de cumplimiento</t>
  </si>
  <si>
    <t>Verificar que se muestra el porcentaje de avance calculado.</t>
  </si>
  <si>
    <t>Hay entregables completados. Sesión de Analista QA (ana.torres@quality360.local). Stack local con Supabase, servicios y datos semilla.</t>
  </si>
  <si>
    <t>CP-S3-009: Solo lectura</t>
  </si>
  <si>
    <t>Verificar que no puede marcar entregables.</t>
  </si>
  <si>
    <t>Un usuario sin permiso abre la HDU. Sesión de Analista QA (ana.torres@quality360.local). Stack local con Supabase, servicios y datos semilla.</t>
  </si>
  <si>
    <t>CP-S3-010: Marcar con evidencia</t>
  </si>
  <si>
    <t>Verificar que queda completado con mi nombre y fecha.</t>
  </si>
  <si>
    <t>El entregable está pendiente. Sesión de Analista QA (ana.torres@quality360.local). Stack local con Supabase, servicios y datos semilla.</t>
  </si>
  <si>
    <t>1. Abrir el portal (http://localhost:5173) e iniciar sesión como Analista QA.
2. Lo marca y adjunta un enlace o archivo.
3. Verificar en pantalla el resultado esperado.</t>
  </si>
  <si>
    <t>tests/e2e/e3-f02-marcar-entregable.spec.ts</t>
  </si>
  <si>
    <t>CP-S3-011: Orden del proceso</t>
  </si>
  <si>
    <t>Verificar que se informa que debe completar el anterior.</t>
  </si>
  <si>
    <t>El entregable anterior obligatorio está pendiente. Sesión de Analista QA (ana.torres@quality360.local). Stack local con Supabase, servicios y datos semilla.</t>
  </si>
  <si>
    <t>1. Abrir el portal (http://localhost:5173) e iniciar sesión como Analista QA.
2. Intenta marcar el siguiente.
3. Verificar en pantalla el resultado esperado.</t>
  </si>
  <si>
    <t>CP-S3-012: Desmarcar</t>
  </si>
  <si>
    <t>Verificar que se registra el retroceso y su motivo.</t>
  </si>
  <si>
    <t>El entregable está completado. Sesión de Analista QA (ana.torres@quality360.local). Stack local con Supabase, servicios y datos semilla.</t>
  </si>
  <si>
    <t>1. Abrir el portal (http://localhost:5173) e iniciar sesión como Analista QA.
2. Lo desmarca indicando motivo.
3. Verificar en pantalla el resultado esperado.</t>
  </si>
  <si>
    <t>CP-S3-013: Aprobación</t>
  </si>
  <si>
    <t>Verificar que queda aprobado con nombre y fecha del QE.</t>
  </si>
  <si>
    <t>Un entregable está pendiente de aprobación. Sesión de Quality Engineer (QE) (carla.fuentes@quality360.local). Stack local con Supabase, servicios y datos semilla.</t>
  </si>
  <si>
    <t>1. Abrir el portal (http://localhost:5173) e iniciar sesión como Quality Engineer (QE).
2. Lo aprueba.
3. Verificar en pantalla el resultado esperado.</t>
  </si>
  <si>
    <t>tests/e2e/e3-f03-aprobaciones.spec.ts</t>
  </si>
  <si>
    <t>CP-S3-014: Rechazo con observaciones</t>
  </si>
  <si>
    <t>Verificar que vuelve a pendiente y el analista ve las observaciones.</t>
  </si>
  <si>
    <t>El entregable no cumple. Sesión de Quality Engineer (QE) (carla.fuentes@quality360.local). Stack local con Supabase, servicios y datos semilla.</t>
  </si>
  <si>
    <t>1. Abrir el portal (http://localhost:5173) e iniciar sesión como Quality Engineer (QE).
2. Lo rechaza con comentario.
3. Verificar en pantalla el resultado esperado.</t>
  </si>
  <si>
    <t>CP-S3-015: Pendientes de aprobación</t>
  </si>
  <si>
    <t>Verificar que se listan agrupados por HDU.</t>
  </si>
  <si>
    <t>Existen varios entregables por aprobar. Sesión de Quality Engineer (QE) (carla.fuentes@quality360.local). Stack local con Supabase, servicios y datos semilla.</t>
  </si>
  <si>
    <t>1. Abrir el portal (http://localhost:5173) e iniciar sesión como Quality Engineer (QE).
2. Abre su bandeja.
3. Verificar en pantalla el resultado esperado.</t>
  </si>
  <si>
    <t>CP-S3-016: Generación</t>
  </si>
  <si>
    <t>Verificar que se descarga un PDF con folio, fechas y responsable de cada entregable.</t>
  </si>
  <si>
    <t>Los 10 entregables están completos y aprobados. Sesión de Quality Engineer (QE) (carla.fuentes@quality360.local). Stack local con Supabase, servicios y datos semilla.</t>
  </si>
  <si>
    <t>1. Abrir el portal (http://localhost:5173) e iniciar sesión como Quality Engineer (QE).
2. Presiona Generar certificado.
3. Verificar en pantalla el resultado esperado.</t>
  </si>
  <si>
    <t>tests/e2e/e3-f04-certificado.spec.ts</t>
  </si>
  <si>
    <t>CP-S3-017: Checklist incompleto</t>
  </si>
  <si>
    <t>Verificar que el botón está deshabilitado y muestra el motivo.</t>
  </si>
  <si>
    <t>Falta un entregable. Sesión de Quality Engineer (QE) (carla.fuentes@quality360.local). Stack local con Supabase, servicios y datos semilla.</t>
  </si>
  <si>
    <t>1. Abrir el portal (http://localhost:5173) e iniciar sesión como Quality Engineer (QE).
2. Visualiza el botón.
3. Verificar en pantalla el resultado esperado.</t>
  </si>
  <si>
    <t>CP-S3-018: Certificado existente</t>
  </si>
  <si>
    <t>Verificar que puede descargar nuevamente el mismo certificado.</t>
  </si>
  <si>
    <t>La HDU ya fue certificada. Sesión de Quality Engineer (QE) (carla.fuentes@quality360.local). Stack local con Supabase, servicios y datos semilla.</t>
  </si>
  <si>
    <t>1. Abrir el portal (http://localhost:5173) e iniciar sesión como Quality Engineer (QE).
2. Vuelve al detalle.
3. Verificar en pantalla el resultado esperado.</t>
  </si>
  <si>
    <t>CP-S3-019: Registro individual</t>
  </si>
  <si>
    <t>Verificar que se guarda completadoPor, completadoEn y evidencia.</t>
  </si>
  <si>
    <t>Se marca un entregable. Sesión de Analista QA (ana.torres@quality360.local). Stack local con Supabase, servicios y datos semilla.</t>
  </si>
  <si>
    <t>1. Preparar el contexto: se marca un entregable.
2. Se procesa la solicitud a través del gateway o del proveedor de autenticación.
3. Verificar la respuesta (código HTTP y cuerpo) y los datos persistidos.</t>
  </si>
  <si>
    <t>tests/api/e3-b01-registro-entregables.spec.ts</t>
  </si>
  <si>
    <t>CP-S3-020: Unicidad por HDU</t>
  </si>
  <si>
    <t>Verificar que se rechaza: un registro por clave y HDU.</t>
  </si>
  <si>
    <t>Se intenta duplicar un entregable. Sesión de Analista QA (ana.torres@quality360.local). Stack local con Supabase, servicios y datos semilla.</t>
  </si>
  <si>
    <t>1. Preparar el contexto: se intenta duplicar un entregable.
2. Se procesa la solicitud a través del gateway o del proveedor de autenticación.
3. Verificar la respuesta (código HTTP y cuerpo) y los datos persistidos.</t>
  </si>
  <si>
    <t>CP-S3-021: Permisos</t>
  </si>
  <si>
    <t>Verificar que se rechaza la operación.</t>
  </si>
  <si>
    <t>Un usuario sin rol autorizado marca un entregable. Sesión de Analista QA (ana.torres@quality360.local). Stack local con Supabase, servicios y datos semilla.</t>
  </si>
  <si>
    <t>1. Preparar el contexto: un usuario sin rol autorizado marca un entregable.
2. Se procesa la solicitud a través del gateway o del proveedor de autenticación.
3. Verificar la respuesta (código HTTP y cuerpo) y los datos persistidos.</t>
  </si>
  <si>
    <t>CP-S3-022: Orden obligatorio</t>
  </si>
  <si>
    <t>Verificar que se rechaza indicando la dependencia.</t>
  </si>
  <si>
    <t>El entregable previo está pendiente. Sesión de Quality Engineer (QE) (carla.fuentes@quality360.local). Stack local con Supabase, servicios y datos semilla.</t>
  </si>
  <si>
    <t>1. Preparar el contexto: el entregable previo está pendiente.
2. Se marca el siguiente a través del gateway o del proveedor de autenticación.
3. Verificar la respuesta (código HTTP y cuerpo) y los datos persistidos.</t>
  </si>
  <si>
    <t>tests/api/e3-b02-orden-aprobacion.spec.ts</t>
  </si>
  <si>
    <t>CP-S3-023: Aprobación de QE</t>
  </si>
  <si>
    <t>Verificar que se rechaza: solo el QE responsable puede aprobar.</t>
  </si>
  <si>
    <t>Un entregable requiere aprobación. Sesión de Quality Engineer (QE) (carla.fuentes@quality360.local). Stack local con Supabase, servicios y datos semilla.</t>
  </si>
  <si>
    <t>1. Preparar el contexto: un entregable requiere aprobación.
2. El analista intenta aprobarlo a través del gateway o del proveedor de autenticación.
3. Verificar la respuesta (código HTTP y cuerpo) y los datos persistidos.</t>
  </si>
  <si>
    <t>CP-S3-024: Cálculo de cumplimiento</t>
  </si>
  <si>
    <t>Verificar que el porcentaje se actualiza sobre los 10 entregables.</t>
  </si>
  <si>
    <t>Cambia el estado de un entregable. Sesión de Quality Engineer (QE) (carla.fuentes@quality360.local). Stack local con Supabase, servicios y datos semilla.</t>
  </si>
  <si>
    <t>1. Preparar el contexto: cambia el estado de un entregable.
2. Se recalcula a través del gateway o del proveedor de autenticación.
3. Verificar la respuesta (código HTTP y cuerpo) y los datos persistidos.</t>
  </si>
  <si>
    <t>CP-S3-025: Generación con folio</t>
  </si>
  <si>
    <t>Verificar que se genera un PDF con folio único y se almacena.</t>
  </si>
  <si>
    <t>El checklist está completo y aprobado. Sesión de Quality Engineer (QE) (carla.fuentes@quality360.local). Stack local con Supabase, servicios y datos semilla.</t>
  </si>
  <si>
    <t>1. Preparar el contexto: el checklist está completo y aprobado.
2. Se solicita el certificado a través del gateway o del proveedor de autenticación.
3. Verificar la respuesta (código HTTP y cuerpo) y los datos persistidos.</t>
  </si>
  <si>
    <t>tests/api/e3-b03-certificado.spec.ts</t>
  </si>
  <si>
    <t>CP-S3-026: Verificación</t>
  </si>
  <si>
    <t>Verificar que se confirma HDU, fecha y validez del certificado.</t>
  </si>
  <si>
    <t>Alguien consulta un folio. Sesión de Quality Engineer (QE) (carla.fuentes@quality360.local). Stack local con Supabase, servicios y datos semilla.</t>
  </si>
  <si>
    <t>1. Preparar el contexto: alguien consulta un folio.
2. Invoca la verificación a través del gateway o del proveedor de autenticación.
3. Verificar la respuesta (código HTTP y cuerpo) y los datos persistidos.</t>
  </si>
  <si>
    <t>CP-S3-027: Precondición incumplida</t>
  </si>
  <si>
    <t>Verificar que se rechaza indicando el faltante.</t>
  </si>
  <si>
    <t>1. Preparar el contexto: falta un entregable.
2. Se solicita el certificado a través del gateway o del proveedor de autenticación.
3. Verificar la respuesta (código HTTP y cuerpo) y los datos persistidos.</t>
  </si>
  <si>
    <t>CP-S3-028: Registro de cambio</t>
  </si>
  <si>
    <t>Verificar que se registra actor, fecha, valor anterior y nuevo.</t>
  </si>
  <si>
    <t>Se marca, desmarca o aprueba un entregable. Sesión de Administrador (patricia.rojas@quality360.local). Stack local con Supabase, servicios y datos semilla.</t>
  </si>
  <si>
    <t>1. Preparar el contexto: se marca, desmarca o aprueba un entregable.
2. Se confirma a través del gateway o del proveedor de autenticación.
3. Verificar la respuesta (código HTTP y cuerpo) y los datos persistidos.</t>
  </si>
  <si>
    <t>tests/api/e3-b04-bitacora.spec.ts</t>
  </si>
  <si>
    <t>CP-S3-029: Motivo de retroceso</t>
  </si>
  <si>
    <t>Verificar que se conserva el motivo.</t>
  </si>
  <si>
    <t>Se desmarca un entregable. Sesión de Administrador (patricia.rojas@quality360.local). Stack local con Supabase, servicios y datos semilla.</t>
  </si>
  <si>
    <t>1. Preparar el contexto: se desmarca un entregable.
2. Se confirma a través del gateway o del proveedor de autenticación.
3. Verificar la respuesta (código HTTP y cuerpo) y los datos persistidos.</t>
  </si>
  <si>
    <t>CP-S3-030: Consulta</t>
  </si>
  <si>
    <t>Verificar que se devuelve el historial completo.</t>
  </si>
  <si>
    <t>Un usuario autorizado pide la bitácora de una HDU. Sesión de Administrador (patricia.rojas@quality360.local). Stack local con Supabase, servicios y datos semilla.</t>
  </si>
  <si>
    <t>1. Preparar el contexto: un usuario autorizado pide la bitácora de una HDU.
2. Se procesa a través del gateway o del proveedor de autenticación.
3. Verificar la respuesta (código HTTP y cuerpo) y los datos persistidos.</t>
  </si>
  <si>
    <t>CP-S3-031: Diseño responsivo del inicio de sesión</t>
  </si>
  <si>
    <t>E1-F01 (rediseño)</t>
  </si>
  <si>
    <t>—</t>
  </si>
  <si>
    <t>Diseño responsivo del inicio de sesión</t>
  </si>
  <si>
    <t>Verificar que la pantalla de acceso se adapta a 1280, 1024, 768, 390 y 320 px sin scroll horizontal, con logo visible y zonas táctiles de 44 px o más.</t>
  </si>
  <si>
    <t>Portal publicado con el rediseño «Acceso A».</t>
  </si>
  <si>
    <t>1. Abrir /login en cada ancho de pantalla.
2. Medir el ancho del contenido y el tamaño de los controles.
3. Verificar la franja compacta bajo 1024 px.</t>
  </si>
  <si>
    <t>Sin scroll horizontal; panel de marca compacto bajo 1024 px; campos de 16 px en móvil; controles de 44 px o más.</t>
  </si>
  <si>
    <t>tests/e2e/login-responsivo-a11y.spec.ts</t>
  </si>
  <si>
    <t>Regresión del rediseño del inicio de sesión (Sprint 3).</t>
  </si>
  <si>
    <t>CP-S3-032: Accesibilidad del inicio de sesión</t>
  </si>
  <si>
    <t>Accesibilidad del inicio de sesión</t>
  </si>
  <si>
    <t>Verificar etiquetas reales, foco visible, un único h1 y contraste suficiente en /login, /recuperar-contrasena y /restablecer-contrasena.</t>
  </si>
  <si>
    <t>Portal con el rediseño de acceso.</t>
  </si>
  <si>
    <t>1. Recorrer las pantallas con teclado.
2. Revisar encabezados, etiquetas y contraste.
3. Verificar los nombres accesibles del botón de mostrar contraseña.</t>
  </si>
  <si>
    <t>Un único h1 por pantalla, etiquetas asociadas, foco visible y contraste de 4,5:1 en textos y 3:1 en bordes.</t>
  </si>
  <si>
    <t>CP-S3-033: Alertas de demasiados intentos y servicio no disponible</t>
  </si>
  <si>
    <t>Alertas de demasiados intentos y servicio no disponible</t>
  </si>
  <si>
    <t>Verificar que el login distingue el error 429 y las fallas de red o 5xx del mensaje genérico de credenciales.</t>
  </si>
  <si>
    <t>Respuestas del proveedor simuladas: 429 over_request_rate_limit, corte de red y 503.</t>
  </si>
  <si>
    <t>1. Ingresar correo y contraseña.
2. Presionar Ingresar con cada respuesta simulada.
3. Verificar el texto y el tipo de la alerta.</t>
  </si>
  <si>
    <t>429: «Demasiados intentos de ingreso…». Red o 5xx: «No pudimos conectar con el servicio de autenticación…».</t>
  </si>
  <si>
    <t>tests/e2e/login-redireccion-rol.spec.ts</t>
  </si>
  <si>
    <t>CP-S3-034: Navegación segura tras el ingreso</t>
  </si>
  <si>
    <t>E1-B01 (rediseño)</t>
  </si>
  <si>
    <t>Navegación segura tras el ingreso</t>
  </si>
  <si>
    <t>Verificar que ningún parámetro de la URL redirige a otro origen después de iniciar sesión.</t>
  </si>
  <si>
    <t>Usuario de la semilla con credenciales válidas.</t>
  </si>
  <si>
    <t>1. Abrir /login con parámetros de retorno hacia otro dominio.
2. Iniciar sesión.
3. Verificar el destino.</t>
  </si>
  <si>
    <t>El usuario siempre queda dentro del portal de su rol.</t>
  </si>
  <si>
    <t>tests/e2e/recuperacion-contrasena-ui.spec.ts</t>
  </si>
  <si>
    <t>Casos de prueba por sprint</t>
  </si>
  <si>
    <t>Los conteos se calculan desde las hojas CDP-Sprint. Sprint 3 en curso.</t>
  </si>
  <si>
    <t>Sprint</t>
  </si>
  <si>
    <t>Alcance</t>
  </si>
  <si>
    <t>Casos</t>
  </si>
  <si>
    <t>Aprobados</t>
  </si>
  <si>
    <t>Con observación</t>
  </si>
  <si>
    <t>% aprobado</t>
  </si>
  <si>
    <t>Sprint 1</t>
  </si>
  <si>
    <t>Épica 1: acceso, portales por rol y organización QA</t>
  </si>
  <si>
    <t>Sprint 2</t>
  </si>
  <si>
    <t>Épica 2: gestión de historias de usuario (HDU)</t>
  </si>
  <si>
    <t>Sprint 3 (actual)</t>
  </si>
  <si>
    <t>Épica 3: certificación y entregables, más el rediseño del inicio de sesión y la recuperación de contraseña (E1-F13, E1-B13)</t>
  </si>
  <si>
    <t/>
  </si>
  <si>
    <t>Administrador (Líder QA)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</si>
</sst>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1" x14ac:knownFonts="1">
    <font>
      <sz val="11"/>
      <color theme="1"/>
      <name val="Calibri"/>
      <family val="2"/>
      <scheme val="minor"/>
    </font>
    <font>
      <b/>
      <sz val="22"/>
      <color rgb="FF0B2545"/>
      <name val="Arial"/>
      <charset val="1"/>
    </font>
    <font>
      <b/>
      <sz val="11"/>
      <color rgb="FF0E7C75"/>
      <name val="Arial"/>
      <charset val="1"/>
    </font>
    <font>
      <i/>
      <sz val="9"/>
      <color rgb="FF52606D"/>
      <name val="Arial"/>
      <charset val="1"/>
    </font>
    <font>
      <b/>
      <sz val="11"/>
      <color rgb="FFFFFFFF"/>
      <name val="Arial"/>
      <charset val="1"/>
    </font>
    <font>
      <b/>
      <sz val="10"/>
      <color rgb="FFFFFFFF"/>
      <name val="Arial"/>
      <charset val="1"/>
    </font>
    <font>
      <sz val="10"/>
      <color rgb="FF1F2933"/>
      <name val="Arial"/>
      <charset val="1"/>
    </font>
    <font>
      <b/>
      <sz val="10"/>
      <color rgb="FF0B2545"/>
      <name val="Arial"/>
      <charset val="1"/>
    </font>
    <font>
      <b/>
      <sz val="20"/>
      <color rgb="FF0B2545"/>
      <name val="Arial"/>
      <charset val="1"/>
    </font>
    <font>
      <b/>
      <sz val="10"/>
      <color rgb="FF1F2933"/>
      <name val="Arial"/>
      <charset val="1"/>
    </font>
    <font>
      <sz val="10"/>
      <color rgb="FF2F6FDB"/>
      <name val="Arial"/>
      <charset val="1"/>
    </font>
    <font>
      <sz val="10"/>
      <color rgb="FF7C3AED"/>
      <name val="Arial"/>
      <charset val="1"/>
    </font>
    <font>
      <b/>
      <sz val="14"/>
      <color rgb="FF0B2559"/>
      <name val="Arial"/>
    </font>
    <font>
      <i/>
      <sz val="9"/>
      <color rgb="FF465267"/>
      <name val="Arial"/>
    </font>
    <font>
      <b/>
      <sz val="10"/>
      <color rgb="FFFFFFFF"/>
      <name val="Arial"/>
    </font>
    <font>
      <b/>
      <sz val="9"/>
      <name val="Arial"/>
    </font>
    <font>
      <sz val="9"/>
      <name val="Arial"/>
    </font>
    <font>
      <b/>
      <sz val="9"/>
      <color rgb="FF157347"/>
      <name val="Arial"/>
    </font>
    <font>
      <b/>
      <sz val="9"/>
      <color rgb="FF8A5A00"/>
      <name val="Arial"/>
    </font>
    <font>
      <b/>
      <sz val="10"/>
      <name val="Arial"/>
    </font>
    <font>
      <sz val="10"/>
      <name val="Arial"/>
    </font>
  </fonts>
  <fills count="14">
    <fill>
      <patternFill patternType="none"/>
    </fill>
    <fill>
      <patternFill patternType="gray125"/>
    </fill>
    <fill>
      <patternFill patternType="solid">
        <fgColor rgb="FF0E7C75"/>
        <bgColor rgb="FF008080"/>
      </patternFill>
    </fill>
    <fill>
      <patternFill patternType="solid">
        <fgColor rgb="FF0B2545"/>
        <bgColor rgb="FF1F2933"/>
      </patternFill>
    </fill>
    <fill>
      <patternFill patternType="solid">
        <fgColor rgb="FF13A89E"/>
        <bgColor rgb="FF008080"/>
      </patternFill>
    </fill>
    <fill>
      <patternFill patternType="solid">
        <fgColor rgb="FF2F6FDB"/>
        <bgColor rgb="FF0066CC"/>
      </patternFill>
    </fill>
    <fill>
      <patternFill patternType="solid">
        <fgColor rgb="FFEAF1FA"/>
        <bgColor rgb="FFE4F4F2"/>
      </patternFill>
    </fill>
    <fill>
      <patternFill patternType="solid">
        <fgColor rgb="FFFFFFFF"/>
        <bgColor rgb="FFF3F4F6"/>
      </patternFill>
    </fill>
    <fill>
      <patternFill patternType="solid">
        <fgColor rgb="FF7C3AED"/>
        <bgColor rgb="FF993366"/>
      </patternFill>
    </fill>
    <fill>
      <patternFill patternType="solid">
        <fgColor rgb="FFF3F4F6"/>
        <bgColor rgb="FFEAF1FA"/>
      </patternFill>
    </fill>
    <fill>
      <patternFill patternType="solid">
        <fgColor rgb="FFE4F4F2"/>
        <bgColor rgb="FFEAF1FA"/>
      </patternFill>
    </fill>
    <fill>
      <patternFill patternType="solid">
        <fgColor rgb="FF2F6FDB"/>
      </patternFill>
    </fill>
    <fill>
      <patternFill patternType="solid">
        <fgColor rgb="FFF4F6F8"/>
      </patternFill>
    </fill>
    <fill>
      <patternFill patternType="solid">
        <fgColor rgb="FFEEF4FF"/>
      </patternFill>
    </fill>
  </fills>
  <borders count="3">
    <border>
      <left/>
      <right/>
      <top/>
      <bottom/>
      <diagonal/>
    </border>
    <border>
      <left style="thin">
        <color rgb="FFC9D3DC"/>
      </left>
      <right style="thin">
        <color rgb="FFC9D3DC"/>
      </right>
      <top style="thin">
        <color rgb="FFC9D3DC"/>
      </top>
      <bottom style="thin">
        <color rgb="FFC9D3DC"/>
      </bottom>
      <diagonal/>
    </border>
    <border>
      <left style="thin">
        <color rgb="FFCFD6DF"/>
      </left>
      <right style="thin">
        <color rgb="FFCFD6DF"/>
      </right>
      <top style="thin">
        <color rgb="FFCFD6DF"/>
      </top>
      <bottom style="thin">
        <color rgb="FFCFD6DF"/>
      </bottom>
      <diagonal/>
    </border>
  </borders>
  <cellStyleXfs count="1">
    <xf numFmtId="0" fontId="0" fillId="0" borderId="0"/>
  </cellStyleXfs>
  <cellXfs count="66">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6" fillId="7" borderId="1" xfId="0" applyFont="1" applyFill="1" applyBorder="1" applyAlignment="1">
      <alignment horizontal="left" vertical="top" wrapText="1"/>
    </xf>
    <xf numFmtId="0" fontId="6" fillId="7" borderId="1" xfId="0" applyFont="1" applyFill="1" applyBorder="1" applyAlignment="1">
      <alignment horizontal="center" vertical="top" wrapText="1"/>
    </xf>
    <xf numFmtId="0" fontId="7" fillId="7" borderId="1" xfId="0" applyFont="1" applyFill="1" applyBorder="1" applyAlignment="1">
      <alignment horizontal="center" vertical="center" wrapText="1"/>
    </xf>
    <xf numFmtId="0" fontId="6" fillId="9" borderId="1" xfId="0" applyFont="1" applyFill="1" applyBorder="1" applyAlignment="1">
      <alignment horizontal="left" vertical="top" wrapText="1"/>
    </xf>
    <xf numFmtId="0" fontId="6" fillId="9" borderId="1" xfId="0" applyFont="1" applyFill="1" applyBorder="1" applyAlignment="1">
      <alignment horizontal="center" vertical="top" wrapText="1"/>
    </xf>
    <xf numFmtId="0" fontId="8" fillId="0" borderId="0" xfId="0" applyFont="1"/>
    <xf numFmtId="0" fontId="7" fillId="10"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9"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9" fillId="10"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9" fillId="7" borderId="1" xfId="0" applyFont="1" applyFill="1" applyBorder="1" applyAlignment="1">
      <alignment horizontal="left" vertical="top" wrapText="1"/>
    </xf>
    <xf numFmtId="0" fontId="12" fillId="0" borderId="0" xfId="0" applyFont="1"/>
    <xf numFmtId="0" fontId="14" fillId="11" borderId="2" xfId="0" applyFont="1" applyFill="1" applyBorder="1" applyAlignment="1">
      <alignment horizontal="center" vertical="center" wrapText="1"/>
    </xf>
    <xf numFmtId="0" fontId="15" fillId="0" borderId="2" xfId="0" applyFont="1" applyBorder="1" applyAlignment="1">
      <alignment horizontal="left" vertical="top" wrapText="1"/>
    </xf>
    <xf numFmtId="0" fontId="16" fillId="0" borderId="2" xfId="0" applyFont="1" applyBorder="1" applyAlignment="1">
      <alignment horizontal="center" vertical="top" wrapText="1"/>
    </xf>
    <xf numFmtId="0" fontId="16" fillId="0" borderId="2" xfId="0" applyFont="1" applyBorder="1" applyAlignment="1">
      <alignment horizontal="left" vertical="top" wrapText="1"/>
    </xf>
    <xf numFmtId="0" fontId="17" fillId="0" borderId="2" xfId="0" applyFont="1" applyBorder="1" applyAlignment="1">
      <alignment horizontal="center" vertical="top" wrapText="1"/>
    </xf>
    <xf numFmtId="164" fontId="16" fillId="0" borderId="2" xfId="0" applyNumberFormat="1" applyFont="1" applyBorder="1" applyAlignment="1">
      <alignment horizontal="center" vertical="top" wrapText="1"/>
    </xf>
    <xf numFmtId="0" fontId="15" fillId="12" borderId="2" xfId="0" applyFont="1" applyFill="1" applyBorder="1" applyAlignment="1">
      <alignment horizontal="left" vertical="top" wrapText="1"/>
    </xf>
    <xf numFmtId="0" fontId="16" fillId="12" borderId="2" xfId="0" applyFont="1" applyFill="1" applyBorder="1" applyAlignment="1">
      <alignment horizontal="center" vertical="top" wrapText="1"/>
    </xf>
    <xf numFmtId="0" fontId="16" fillId="12" borderId="2" xfId="0" applyFont="1" applyFill="1" applyBorder="1" applyAlignment="1">
      <alignment horizontal="left" vertical="top" wrapText="1"/>
    </xf>
    <xf numFmtId="0" fontId="17" fillId="12" borderId="2" xfId="0" applyFont="1" applyFill="1" applyBorder="1" applyAlignment="1">
      <alignment horizontal="center" vertical="top" wrapText="1"/>
    </xf>
    <xf numFmtId="164" fontId="16" fillId="12" borderId="2" xfId="0" applyNumberFormat="1" applyFont="1" applyFill="1" applyBorder="1" applyAlignment="1">
      <alignment horizontal="center" vertical="top" wrapText="1"/>
    </xf>
    <xf numFmtId="0" fontId="18" fillId="0" borderId="2" xfId="0" applyFont="1" applyBorder="1" applyAlignment="1">
      <alignment horizontal="center" vertical="top" wrapText="1"/>
    </xf>
    <xf numFmtId="0" fontId="18" fillId="12" borderId="2" xfId="0" applyFont="1" applyFill="1" applyBorder="1" applyAlignment="1">
      <alignment horizontal="center" vertical="top" wrapText="1"/>
    </xf>
    <xf numFmtId="0" fontId="13" fillId="0" borderId="0" xfId="0" applyFont="1"/>
    <xf numFmtId="0" fontId="19" fillId="0" borderId="2" xfId="0" applyFont="1" applyBorder="1" applyAlignment="1">
      <alignment horizontal="center"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9" fontId="20" fillId="0" borderId="2" xfId="0" applyNumberFormat="1" applyFont="1" applyBorder="1" applyAlignment="1">
      <alignment horizontal="center" vertical="top" wrapText="1"/>
    </xf>
    <xf numFmtId="0" fontId="19" fillId="13" borderId="2" xfId="0" applyFont="1" applyFill="1" applyBorder="1" applyAlignment="1">
      <alignment horizontal="center"/>
    </xf>
    <xf numFmtId="0" fontId="19" fillId="13" borderId="2" xfId="0" applyFont="1" applyFill="1" applyBorder="1" applyAlignment="1">
      <alignment horizontal="left"/>
    </xf>
    <xf numFmtId="9" fontId="19" fillId="13" borderId="2" xfId="0" applyNumberFormat="1" applyFont="1" applyFill="1" applyBorder="1" applyAlignment="1">
      <alignment horizontal="center"/>
    </xf>
    <xf numFmtId="0" fontId="4" fillId="2"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7" fillId="6" borderId="1" xfId="0" applyFont="1" applyFill="1" applyBorder="1" applyAlignment="1">
      <alignment horizontal="center" vertical="center" wrapText="1"/>
    </xf>
    <xf numFmtId="0" fontId="6" fillId="7" borderId="1" xfId="0" applyFont="1" applyFill="1" applyBorder="1" applyAlignment="1">
      <alignment horizontal="left" vertical="top" wrapText="1"/>
    </xf>
    <xf numFmtId="0" fontId="7"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9" borderId="1" xfId="0" applyFont="1" applyFill="1" applyBorder="1" applyAlignment="1">
      <alignment horizontal="left" vertical="top" wrapText="1"/>
    </xf>
    <xf numFmtId="0" fontId="7" fillId="9" borderId="1" xfId="0" applyFont="1" applyFill="1" applyBorder="1" applyAlignment="1">
      <alignment horizontal="center" vertical="center" wrapText="1"/>
    </xf>
    <xf numFmtId="0" fontId="5" fillId="2" borderId="1" xfId="0" applyFont="1" applyFill="1" applyBorder="1" applyAlignment="1">
      <alignment horizontal="right" vertical="center" wrapText="1"/>
    </xf>
    <xf numFmtId="0" fontId="5" fillId="4" borderId="1" xfId="0" applyFont="1" applyFill="1" applyBorder="1" applyAlignment="1">
      <alignment horizontal="center" vertical="center" wrapText="1"/>
    </xf>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14"/>
  <sheetViews>
    <sheetView tabSelected="1" zoomScaleNormal="100" workbookViewId="0">
      <pane ySplit="5" topLeftCell="A25" activePane="bottomLeft" state="frozen"/>
      <selection pane="bottomLeft" activeCell="D209" sqref="D209:D211"/>
    </sheetView>
  </sheetViews>
  <sheetFormatPr baseColWidth="10" defaultColWidth="8.6640625" defaultRowHeight="14.4" x14ac:dyDescent="0.3"/>
  <cols>
    <col min="1" max="1" width="1.5546875" customWidth="1"/>
    <col min="2" max="2" width="12" customWidth="1"/>
    <col min="3" max="3" width="20" customWidth="1"/>
    <col min="4" max="4" width="34" customWidth="1"/>
    <col min="5" max="5" width="26" customWidth="1"/>
    <col min="6" max="6" width="10" customWidth="1"/>
    <col min="7" max="7" width="24" customWidth="1"/>
    <col min="8" max="8" width="38" customWidth="1"/>
    <col min="9" max="9" width="32" customWidth="1"/>
    <col min="10" max="10" width="48" customWidth="1"/>
  </cols>
  <sheetData>
    <row r="1" spans="2:11" ht="33.75" customHeight="1" x14ac:dyDescent="0.5">
      <c r="B1" s="1" t="s">
        <v>0</v>
      </c>
    </row>
    <row r="2" spans="2:11" ht="15" customHeight="1" x14ac:dyDescent="0.3">
      <c r="B2" s="2" t="s">
        <v>1</v>
      </c>
    </row>
    <row r="3" spans="2:11" ht="15.75" customHeight="1" x14ac:dyDescent="0.3">
      <c r="B3" s="3" t="s">
        <v>2</v>
      </c>
    </row>
    <row r="4" spans="2:11" x14ac:dyDescent="0.3">
      <c r="B4" s="4"/>
      <c r="C4" s="53" t="s">
        <v>3</v>
      </c>
      <c r="D4" s="53"/>
      <c r="E4" s="53"/>
      <c r="F4" s="53"/>
      <c r="G4" s="53" t="s">
        <v>4</v>
      </c>
      <c r="H4" s="53"/>
      <c r="I4" s="53"/>
      <c r="J4" s="53"/>
      <c r="K4" s="4"/>
    </row>
    <row r="5" spans="2:11" ht="39.6" x14ac:dyDescent="0.3">
      <c r="B5" s="5" t="s">
        <v>5</v>
      </c>
      <c r="C5" s="5" t="s">
        <v>6</v>
      </c>
      <c r="D5" s="5" t="s">
        <v>7</v>
      </c>
      <c r="E5" s="5" t="s">
        <v>8</v>
      </c>
      <c r="F5" s="5" t="s">
        <v>9</v>
      </c>
      <c r="G5" s="5" t="s">
        <v>10</v>
      </c>
      <c r="H5" s="5" t="s">
        <v>11</v>
      </c>
      <c r="I5" s="5" t="s">
        <v>12</v>
      </c>
      <c r="J5" s="5" t="s">
        <v>13</v>
      </c>
      <c r="K5" s="5" t="s">
        <v>14</v>
      </c>
    </row>
    <row r="6" spans="2:11" ht="21.75" customHeight="1" x14ac:dyDescent="0.3">
      <c r="B6" s="54" t="s">
        <v>15</v>
      </c>
      <c r="C6" s="54"/>
      <c r="D6" s="54"/>
      <c r="E6" s="54"/>
      <c r="F6" s="54"/>
      <c r="G6" s="54"/>
      <c r="H6" s="54"/>
      <c r="I6" s="54"/>
      <c r="J6" s="54"/>
      <c r="K6" s="54"/>
    </row>
    <row r="7" spans="2:11" ht="42.75" customHeight="1" x14ac:dyDescent="0.3">
      <c r="B7" s="55" t="s">
        <v>16</v>
      </c>
      <c r="C7" s="56" t="s">
        <v>17</v>
      </c>
      <c r="D7" s="56" t="s">
        <v>18</v>
      </c>
      <c r="E7" s="56" t="s">
        <v>19</v>
      </c>
      <c r="F7" s="7">
        <v>1</v>
      </c>
      <c r="G7" s="6" t="s">
        <v>20</v>
      </c>
      <c r="H7" s="6" t="s">
        <v>21</v>
      </c>
      <c r="I7" s="6" t="s">
        <v>22</v>
      </c>
      <c r="J7" s="6" t="s">
        <v>23</v>
      </c>
      <c r="K7" s="57">
        <v>1</v>
      </c>
    </row>
    <row r="8" spans="2:11" ht="30" customHeight="1" x14ac:dyDescent="0.3">
      <c r="B8" s="55"/>
      <c r="C8" s="56"/>
      <c r="D8" s="56"/>
      <c r="E8" s="56"/>
      <c r="F8" s="7">
        <v>2</v>
      </c>
      <c r="G8" s="6" t="s">
        <v>24</v>
      </c>
      <c r="H8" s="6" t="s">
        <v>25</v>
      </c>
      <c r="I8" s="6" t="s">
        <v>26</v>
      </c>
      <c r="J8" s="6" t="s">
        <v>27</v>
      </c>
      <c r="K8" s="57"/>
    </row>
    <row r="9" spans="2:11" ht="55.5" customHeight="1" x14ac:dyDescent="0.3">
      <c r="B9" s="55"/>
      <c r="C9" s="56"/>
      <c r="D9" s="56"/>
      <c r="E9" s="56"/>
      <c r="F9" s="7">
        <v>3</v>
      </c>
      <c r="G9" s="6" t="s">
        <v>28</v>
      </c>
      <c r="H9" s="6" t="s">
        <v>29</v>
      </c>
      <c r="I9" s="6" t="s">
        <v>26</v>
      </c>
      <c r="J9" s="6" t="s">
        <v>30</v>
      </c>
      <c r="K9" s="57"/>
    </row>
    <row r="10" spans="2:11" ht="30" customHeight="1" x14ac:dyDescent="0.3">
      <c r="B10" s="55" t="s">
        <v>31</v>
      </c>
      <c r="C10" s="58" t="s">
        <v>32</v>
      </c>
      <c r="D10" s="58" t="s">
        <v>33</v>
      </c>
      <c r="E10" s="58" t="s">
        <v>34</v>
      </c>
      <c r="F10" s="9">
        <v>1</v>
      </c>
      <c r="G10" s="8" t="s">
        <v>35</v>
      </c>
      <c r="H10" s="8" t="s">
        <v>36</v>
      </c>
      <c r="I10" s="8" t="s">
        <v>37</v>
      </c>
      <c r="J10" s="8" t="s">
        <v>38</v>
      </c>
      <c r="K10" s="59">
        <v>1</v>
      </c>
    </row>
    <row r="11" spans="2:11" ht="30" customHeight="1" x14ac:dyDescent="0.3">
      <c r="B11" s="55"/>
      <c r="C11" s="58"/>
      <c r="D11" s="58"/>
      <c r="E11" s="58"/>
      <c r="F11" s="9">
        <v>2</v>
      </c>
      <c r="G11" s="8" t="s">
        <v>39</v>
      </c>
      <c r="H11" s="8" t="s">
        <v>40</v>
      </c>
      <c r="I11" s="8" t="s">
        <v>41</v>
      </c>
      <c r="J11" s="8" t="s">
        <v>42</v>
      </c>
      <c r="K11" s="59"/>
    </row>
    <row r="12" spans="2:11" ht="42.75" customHeight="1" x14ac:dyDescent="0.3">
      <c r="B12" s="55"/>
      <c r="C12" s="58"/>
      <c r="D12" s="58"/>
      <c r="E12" s="58"/>
      <c r="F12" s="9">
        <v>3</v>
      </c>
      <c r="G12" s="8" t="s">
        <v>43</v>
      </c>
      <c r="H12" s="8" t="s">
        <v>44</v>
      </c>
      <c r="I12" s="8" t="s">
        <v>45</v>
      </c>
      <c r="J12" s="8" t="s">
        <v>46</v>
      </c>
      <c r="K12" s="59"/>
    </row>
    <row r="13" spans="2:11" ht="42.75" customHeight="1" x14ac:dyDescent="0.3">
      <c r="B13" s="55" t="s">
        <v>47</v>
      </c>
      <c r="C13" s="56" t="s">
        <v>32</v>
      </c>
      <c r="D13" s="56" t="s">
        <v>48</v>
      </c>
      <c r="E13" s="56" t="s">
        <v>49</v>
      </c>
      <c r="F13" s="7">
        <v>1</v>
      </c>
      <c r="G13" s="6" t="s">
        <v>50</v>
      </c>
      <c r="H13" s="6" t="s">
        <v>51</v>
      </c>
      <c r="I13" s="6" t="s">
        <v>52</v>
      </c>
      <c r="J13" s="6" t="s">
        <v>53</v>
      </c>
      <c r="K13" s="57">
        <v>1</v>
      </c>
    </row>
    <row r="14" spans="2:11" ht="30" customHeight="1" x14ac:dyDescent="0.3">
      <c r="B14" s="55"/>
      <c r="C14" s="56"/>
      <c r="D14" s="56"/>
      <c r="E14" s="56"/>
      <c r="F14" s="7">
        <v>2</v>
      </c>
      <c r="G14" s="6" t="s">
        <v>54</v>
      </c>
      <c r="H14" s="6" t="s">
        <v>55</v>
      </c>
      <c r="I14" s="6" t="s">
        <v>52</v>
      </c>
      <c r="J14" s="6" t="s">
        <v>56</v>
      </c>
      <c r="K14" s="57"/>
    </row>
    <row r="15" spans="2:11" ht="42.75" customHeight="1" x14ac:dyDescent="0.3">
      <c r="B15" s="55"/>
      <c r="C15" s="56"/>
      <c r="D15" s="56"/>
      <c r="E15" s="56"/>
      <c r="F15" s="7">
        <v>3</v>
      </c>
      <c r="G15" s="6" t="s">
        <v>57</v>
      </c>
      <c r="H15" s="6" t="s">
        <v>58</v>
      </c>
      <c r="I15" s="6" t="s">
        <v>52</v>
      </c>
      <c r="J15" s="6" t="s">
        <v>59</v>
      </c>
      <c r="K15" s="57"/>
    </row>
    <row r="16" spans="2:11" ht="42.75" customHeight="1" x14ac:dyDescent="0.3">
      <c r="B16" s="55" t="s">
        <v>60</v>
      </c>
      <c r="C16" s="58" t="s">
        <v>32</v>
      </c>
      <c r="D16" s="58" t="s">
        <v>61</v>
      </c>
      <c r="E16" s="58" t="s">
        <v>62</v>
      </c>
      <c r="F16" s="9">
        <v>1</v>
      </c>
      <c r="G16" s="8" t="s">
        <v>63</v>
      </c>
      <c r="H16" s="8" t="s">
        <v>64</v>
      </c>
      <c r="I16" s="8" t="s">
        <v>65</v>
      </c>
      <c r="J16" s="8" t="s">
        <v>66</v>
      </c>
      <c r="K16" s="59">
        <v>1</v>
      </c>
    </row>
    <row r="17" spans="2:11" ht="30" customHeight="1" x14ac:dyDescent="0.3">
      <c r="B17" s="55"/>
      <c r="C17" s="58"/>
      <c r="D17" s="58"/>
      <c r="E17" s="58"/>
      <c r="F17" s="9">
        <v>2</v>
      </c>
      <c r="G17" s="8" t="s">
        <v>67</v>
      </c>
      <c r="H17" s="8" t="s">
        <v>68</v>
      </c>
      <c r="I17" s="8" t="s">
        <v>65</v>
      </c>
      <c r="J17" s="8" t="s">
        <v>69</v>
      </c>
      <c r="K17" s="59"/>
    </row>
    <row r="18" spans="2:11" ht="16.5" customHeight="1" x14ac:dyDescent="0.3">
      <c r="B18" s="55"/>
      <c r="C18" s="58"/>
      <c r="D18" s="58"/>
      <c r="E18" s="58"/>
      <c r="F18" s="9">
        <v>3</v>
      </c>
      <c r="G18" s="8" t="s">
        <v>70</v>
      </c>
      <c r="H18" s="8" t="s">
        <v>71</v>
      </c>
      <c r="I18" s="8" t="s">
        <v>65</v>
      </c>
      <c r="J18" s="8" t="s">
        <v>72</v>
      </c>
      <c r="K18" s="59"/>
    </row>
    <row r="19" spans="2:11" ht="30" customHeight="1" x14ac:dyDescent="0.3">
      <c r="B19" s="55" t="s">
        <v>73</v>
      </c>
      <c r="C19" s="56" t="s">
        <v>74</v>
      </c>
      <c r="D19" s="56" t="s">
        <v>75</v>
      </c>
      <c r="E19" s="56" t="s">
        <v>76</v>
      </c>
      <c r="F19" s="7">
        <v>1</v>
      </c>
      <c r="G19" s="6" t="s">
        <v>77</v>
      </c>
      <c r="H19" s="6" t="s">
        <v>78</v>
      </c>
      <c r="I19" s="6" t="s">
        <v>37</v>
      </c>
      <c r="J19" s="6" t="s">
        <v>79</v>
      </c>
      <c r="K19" s="57">
        <v>1</v>
      </c>
    </row>
    <row r="20" spans="2:11" ht="30" customHeight="1" x14ac:dyDescent="0.3">
      <c r="B20" s="55"/>
      <c r="C20" s="56"/>
      <c r="D20" s="56"/>
      <c r="E20" s="56"/>
      <c r="F20" s="7">
        <v>2</v>
      </c>
      <c r="G20" s="6" t="s">
        <v>80</v>
      </c>
      <c r="H20" s="6" t="s">
        <v>81</v>
      </c>
      <c r="I20" s="6" t="s">
        <v>82</v>
      </c>
      <c r="J20" s="6" t="s">
        <v>83</v>
      </c>
      <c r="K20" s="57"/>
    </row>
    <row r="21" spans="2:11" ht="30" customHeight="1" x14ac:dyDescent="0.3">
      <c r="B21" s="55"/>
      <c r="C21" s="56"/>
      <c r="D21" s="56"/>
      <c r="E21" s="56"/>
      <c r="F21" s="7">
        <v>3</v>
      </c>
      <c r="G21" s="6" t="s">
        <v>84</v>
      </c>
      <c r="H21" s="6" t="s">
        <v>85</v>
      </c>
      <c r="I21" s="6" t="s">
        <v>86</v>
      </c>
      <c r="J21" s="6" t="s">
        <v>87</v>
      </c>
      <c r="K21" s="57"/>
    </row>
    <row r="22" spans="2:11" ht="42.75" customHeight="1" x14ac:dyDescent="0.3">
      <c r="B22" s="55" t="s">
        <v>88</v>
      </c>
      <c r="C22" s="58" t="s">
        <v>74</v>
      </c>
      <c r="D22" s="58" t="s">
        <v>89</v>
      </c>
      <c r="E22" s="58" t="s">
        <v>90</v>
      </c>
      <c r="F22" s="9">
        <v>1</v>
      </c>
      <c r="G22" s="8" t="s">
        <v>91</v>
      </c>
      <c r="H22" s="8" t="s">
        <v>92</v>
      </c>
      <c r="I22" s="8" t="s">
        <v>52</v>
      </c>
      <c r="J22" s="8" t="s">
        <v>93</v>
      </c>
      <c r="K22" s="59">
        <v>1</v>
      </c>
    </row>
    <row r="23" spans="2:11" ht="16.5" customHeight="1" x14ac:dyDescent="0.3">
      <c r="B23" s="55"/>
      <c r="C23" s="58"/>
      <c r="D23" s="58"/>
      <c r="E23" s="58"/>
      <c r="F23" s="9">
        <v>2</v>
      </c>
      <c r="G23" s="8" t="s">
        <v>94</v>
      </c>
      <c r="H23" s="8" t="s">
        <v>95</v>
      </c>
      <c r="I23" s="8" t="s">
        <v>52</v>
      </c>
      <c r="J23" s="8" t="s">
        <v>96</v>
      </c>
      <c r="K23" s="59"/>
    </row>
    <row r="24" spans="2:11" ht="30" customHeight="1" x14ac:dyDescent="0.3">
      <c r="B24" s="55"/>
      <c r="C24" s="58"/>
      <c r="D24" s="58"/>
      <c r="E24" s="58"/>
      <c r="F24" s="9">
        <v>3</v>
      </c>
      <c r="G24" s="8" t="s">
        <v>97</v>
      </c>
      <c r="H24" s="8" t="s">
        <v>98</v>
      </c>
      <c r="I24" s="8" t="s">
        <v>52</v>
      </c>
      <c r="J24" s="8" t="s">
        <v>99</v>
      </c>
      <c r="K24" s="59"/>
    </row>
    <row r="25" spans="2:11" ht="30" customHeight="1" x14ac:dyDescent="0.3">
      <c r="B25" s="55" t="s">
        <v>100</v>
      </c>
      <c r="C25" s="56" t="s">
        <v>1623</v>
      </c>
      <c r="D25" s="56" t="s">
        <v>102</v>
      </c>
      <c r="E25" s="56" t="s">
        <v>103</v>
      </c>
      <c r="F25" s="7">
        <v>1</v>
      </c>
      <c r="G25" s="6" t="s">
        <v>104</v>
      </c>
      <c r="H25" s="6" t="s">
        <v>105</v>
      </c>
      <c r="I25" s="6" t="s">
        <v>37</v>
      </c>
      <c r="J25" s="6" t="s">
        <v>106</v>
      </c>
      <c r="K25" s="57">
        <v>1</v>
      </c>
    </row>
    <row r="26" spans="2:11" ht="30" customHeight="1" x14ac:dyDescent="0.3">
      <c r="B26" s="55"/>
      <c r="C26" s="56"/>
      <c r="D26" s="56"/>
      <c r="E26" s="56"/>
      <c r="F26" s="7">
        <v>2</v>
      </c>
      <c r="G26" s="6" t="s">
        <v>107</v>
      </c>
      <c r="H26" s="6" t="s">
        <v>108</v>
      </c>
      <c r="I26" s="6" t="s">
        <v>109</v>
      </c>
      <c r="J26" s="6" t="s">
        <v>110</v>
      </c>
      <c r="K26" s="57"/>
    </row>
    <row r="27" spans="2:11" ht="16.5" customHeight="1" x14ac:dyDescent="0.3">
      <c r="B27" s="55"/>
      <c r="C27" s="56"/>
      <c r="D27" s="56"/>
      <c r="E27" s="56"/>
      <c r="F27" s="7">
        <v>3</v>
      </c>
      <c r="G27" s="6" t="s">
        <v>111</v>
      </c>
      <c r="H27" s="6" t="s">
        <v>112</v>
      </c>
      <c r="I27" s="6" t="s">
        <v>113</v>
      </c>
      <c r="J27" s="6" t="s">
        <v>114</v>
      </c>
      <c r="K27" s="57"/>
    </row>
    <row r="28" spans="2:11" ht="30" customHeight="1" x14ac:dyDescent="0.3">
      <c r="B28" s="55" t="s">
        <v>115</v>
      </c>
      <c r="C28" s="58" t="s">
        <v>1623</v>
      </c>
      <c r="D28" s="58" t="s">
        <v>116</v>
      </c>
      <c r="E28" s="58" t="s">
        <v>117</v>
      </c>
      <c r="F28" s="9">
        <v>1</v>
      </c>
      <c r="G28" s="8" t="s">
        <v>118</v>
      </c>
      <c r="H28" s="8" t="s">
        <v>119</v>
      </c>
      <c r="I28" s="8" t="s">
        <v>120</v>
      </c>
      <c r="J28" s="8" t="s">
        <v>121</v>
      </c>
      <c r="K28" s="59">
        <v>1</v>
      </c>
    </row>
    <row r="29" spans="2:11" ht="30" customHeight="1" x14ac:dyDescent="0.3">
      <c r="B29" s="55"/>
      <c r="C29" s="58"/>
      <c r="D29" s="58"/>
      <c r="E29" s="58"/>
      <c r="F29" s="9">
        <v>2</v>
      </c>
      <c r="G29" s="8" t="s">
        <v>122</v>
      </c>
      <c r="H29" s="8" t="s">
        <v>123</v>
      </c>
      <c r="I29" s="8" t="s">
        <v>124</v>
      </c>
      <c r="J29" s="8" t="s">
        <v>125</v>
      </c>
      <c r="K29" s="59"/>
    </row>
    <row r="30" spans="2:11" ht="16.5" customHeight="1" x14ac:dyDescent="0.3">
      <c r="B30" s="55"/>
      <c r="C30" s="58"/>
      <c r="D30" s="58"/>
      <c r="E30" s="58"/>
      <c r="F30" s="9">
        <v>3</v>
      </c>
      <c r="G30" s="8" t="s">
        <v>126</v>
      </c>
      <c r="H30" s="8" t="s">
        <v>127</v>
      </c>
      <c r="I30" s="8" t="s">
        <v>128</v>
      </c>
      <c r="J30" s="8" t="s">
        <v>129</v>
      </c>
      <c r="K30" s="59"/>
    </row>
    <row r="31" spans="2:11" ht="30" customHeight="1" x14ac:dyDescent="0.3">
      <c r="B31" s="55" t="s">
        <v>130</v>
      </c>
      <c r="C31" s="56" t="s">
        <v>1623</v>
      </c>
      <c r="D31" s="56" t="s">
        <v>131</v>
      </c>
      <c r="E31" s="56" t="s">
        <v>132</v>
      </c>
      <c r="F31" s="7">
        <v>1</v>
      </c>
      <c r="G31" s="6" t="s">
        <v>133</v>
      </c>
      <c r="H31" s="6" t="s">
        <v>134</v>
      </c>
      <c r="I31" s="6" t="s">
        <v>135</v>
      </c>
      <c r="J31" s="6" t="s">
        <v>136</v>
      </c>
      <c r="K31" s="57">
        <v>1</v>
      </c>
    </row>
    <row r="32" spans="2:11" ht="30" customHeight="1" x14ac:dyDescent="0.3">
      <c r="B32" s="55"/>
      <c r="C32" s="56"/>
      <c r="D32" s="56"/>
      <c r="E32" s="56"/>
      <c r="F32" s="7">
        <v>2</v>
      </c>
      <c r="G32" s="6" t="s">
        <v>137</v>
      </c>
      <c r="H32" s="6" t="s">
        <v>138</v>
      </c>
      <c r="I32" s="6" t="s">
        <v>139</v>
      </c>
      <c r="J32" s="6" t="s">
        <v>140</v>
      </c>
      <c r="K32" s="57"/>
    </row>
    <row r="33" spans="2:11" ht="30" customHeight="1" x14ac:dyDescent="0.3">
      <c r="B33" s="55"/>
      <c r="C33" s="56"/>
      <c r="D33" s="56"/>
      <c r="E33" s="56"/>
      <c r="F33" s="7">
        <v>3</v>
      </c>
      <c r="G33" s="6" t="s">
        <v>141</v>
      </c>
      <c r="H33" s="6" t="s">
        <v>142</v>
      </c>
      <c r="I33" s="6" t="s">
        <v>143</v>
      </c>
      <c r="J33" s="6" t="s">
        <v>144</v>
      </c>
      <c r="K33" s="57"/>
    </row>
    <row r="34" spans="2:11" ht="30" customHeight="1" x14ac:dyDescent="0.3">
      <c r="B34" s="55" t="s">
        <v>145</v>
      </c>
      <c r="C34" s="58" t="s">
        <v>1623</v>
      </c>
      <c r="D34" s="58" t="s">
        <v>146</v>
      </c>
      <c r="E34" s="58" t="s">
        <v>147</v>
      </c>
      <c r="F34" s="9">
        <v>1</v>
      </c>
      <c r="G34" s="8" t="s">
        <v>148</v>
      </c>
      <c r="H34" s="8" t="s">
        <v>149</v>
      </c>
      <c r="I34" s="8" t="s">
        <v>150</v>
      </c>
      <c r="J34" s="8" t="s">
        <v>151</v>
      </c>
      <c r="K34" s="59">
        <v>1</v>
      </c>
    </row>
    <row r="35" spans="2:11" ht="30" customHeight="1" x14ac:dyDescent="0.3">
      <c r="B35" s="55"/>
      <c r="C35" s="58"/>
      <c r="D35" s="58"/>
      <c r="E35" s="58"/>
      <c r="F35" s="9">
        <v>2</v>
      </c>
      <c r="G35" s="8" t="s">
        <v>152</v>
      </c>
      <c r="H35" s="8" t="s">
        <v>153</v>
      </c>
      <c r="I35" s="8" t="s">
        <v>154</v>
      </c>
      <c r="J35" s="8" t="s">
        <v>155</v>
      </c>
      <c r="K35" s="59"/>
    </row>
    <row r="36" spans="2:11" ht="30" customHeight="1" x14ac:dyDescent="0.3">
      <c r="B36" s="55"/>
      <c r="C36" s="58"/>
      <c r="D36" s="58"/>
      <c r="E36" s="58"/>
      <c r="F36" s="9">
        <v>3</v>
      </c>
      <c r="G36" s="8" t="s">
        <v>156</v>
      </c>
      <c r="H36" s="8" t="s">
        <v>157</v>
      </c>
      <c r="I36" s="8" t="s">
        <v>158</v>
      </c>
      <c r="J36" s="8" t="s">
        <v>159</v>
      </c>
      <c r="K36" s="59"/>
    </row>
    <row r="37" spans="2:11" ht="16.5" customHeight="1" x14ac:dyDescent="0.3">
      <c r="B37" s="55" t="s">
        <v>160</v>
      </c>
      <c r="C37" s="56" t="s">
        <v>161</v>
      </c>
      <c r="D37" s="56" t="s">
        <v>162</v>
      </c>
      <c r="E37" s="56" t="s">
        <v>163</v>
      </c>
      <c r="F37" s="7">
        <v>1</v>
      </c>
      <c r="G37" s="6" t="s">
        <v>164</v>
      </c>
      <c r="H37" s="6" t="s">
        <v>165</v>
      </c>
      <c r="I37" s="6" t="s">
        <v>166</v>
      </c>
      <c r="J37" s="6" t="s">
        <v>167</v>
      </c>
      <c r="K37" s="57">
        <v>1</v>
      </c>
    </row>
    <row r="38" spans="2:11" ht="30" customHeight="1" x14ac:dyDescent="0.3">
      <c r="B38" s="55"/>
      <c r="C38" s="56"/>
      <c r="D38" s="56"/>
      <c r="E38" s="56"/>
      <c r="F38" s="7">
        <v>2</v>
      </c>
      <c r="G38" s="6" t="s">
        <v>168</v>
      </c>
      <c r="H38" s="6" t="s">
        <v>169</v>
      </c>
      <c r="I38" s="6" t="s">
        <v>170</v>
      </c>
      <c r="J38" s="6" t="s">
        <v>171</v>
      </c>
      <c r="K38" s="57"/>
    </row>
    <row r="39" spans="2:11" ht="30" customHeight="1" x14ac:dyDescent="0.3">
      <c r="B39" s="55"/>
      <c r="C39" s="56"/>
      <c r="D39" s="56"/>
      <c r="E39" s="56"/>
      <c r="F39" s="7">
        <v>3</v>
      </c>
      <c r="G39" s="6" t="s">
        <v>172</v>
      </c>
      <c r="H39" s="6" t="s">
        <v>173</v>
      </c>
      <c r="I39" s="6" t="s">
        <v>174</v>
      </c>
      <c r="J39" s="6" t="s">
        <v>175</v>
      </c>
      <c r="K39" s="57"/>
    </row>
    <row r="40" spans="2:11" ht="30" customHeight="1" x14ac:dyDescent="0.3">
      <c r="B40" s="55" t="s">
        <v>176</v>
      </c>
      <c r="C40" s="58" t="s">
        <v>161</v>
      </c>
      <c r="D40" s="58" t="s">
        <v>177</v>
      </c>
      <c r="E40" s="58" t="s">
        <v>178</v>
      </c>
      <c r="F40" s="9">
        <v>1</v>
      </c>
      <c r="G40" s="8" t="s">
        <v>179</v>
      </c>
      <c r="H40" s="8" t="s">
        <v>180</v>
      </c>
      <c r="I40" s="8" t="s">
        <v>181</v>
      </c>
      <c r="J40" s="8" t="s">
        <v>182</v>
      </c>
      <c r="K40" s="59">
        <v>1</v>
      </c>
    </row>
    <row r="41" spans="2:11" ht="16.5" customHeight="1" x14ac:dyDescent="0.3">
      <c r="B41" s="55"/>
      <c r="C41" s="58"/>
      <c r="D41" s="58"/>
      <c r="E41" s="58"/>
      <c r="F41" s="9">
        <v>2</v>
      </c>
      <c r="G41" s="8" t="s">
        <v>183</v>
      </c>
      <c r="H41" s="8" t="s">
        <v>165</v>
      </c>
      <c r="I41" s="8" t="s">
        <v>184</v>
      </c>
      <c r="J41" s="8" t="s">
        <v>185</v>
      </c>
      <c r="K41" s="59"/>
    </row>
    <row r="42" spans="2:11" ht="30" customHeight="1" x14ac:dyDescent="0.3">
      <c r="B42" s="55"/>
      <c r="C42" s="58"/>
      <c r="D42" s="58"/>
      <c r="E42" s="58"/>
      <c r="F42" s="9">
        <v>3</v>
      </c>
      <c r="G42" s="8" t="s">
        <v>186</v>
      </c>
      <c r="H42" s="8" t="s">
        <v>187</v>
      </c>
      <c r="I42" s="8" t="s">
        <v>188</v>
      </c>
      <c r="J42" s="8" t="s">
        <v>189</v>
      </c>
      <c r="K42" s="59"/>
    </row>
    <row r="43" spans="2:11" ht="30" customHeight="1" x14ac:dyDescent="0.3">
      <c r="B43" s="55" t="s">
        <v>190</v>
      </c>
      <c r="C43" s="58" t="s">
        <v>17</v>
      </c>
      <c r="D43" s="58" t="s">
        <v>191</v>
      </c>
      <c r="E43" s="58" t="s">
        <v>192</v>
      </c>
      <c r="F43" s="9">
        <v>1</v>
      </c>
      <c r="G43" s="8" t="s">
        <v>193</v>
      </c>
      <c r="H43" s="8" t="s">
        <v>194</v>
      </c>
      <c r="I43" s="8" t="s">
        <v>195</v>
      </c>
      <c r="J43" s="8" t="s">
        <v>196</v>
      </c>
      <c r="K43" s="59">
        <v>1</v>
      </c>
    </row>
    <row r="44" spans="2:11" ht="16.5" customHeight="1" x14ac:dyDescent="0.3">
      <c r="B44" s="55"/>
      <c r="C44" s="58"/>
      <c r="D44" s="58"/>
      <c r="E44" s="58"/>
      <c r="F44" s="9">
        <v>2</v>
      </c>
      <c r="G44" s="8" t="s">
        <v>197</v>
      </c>
      <c r="H44" s="8" t="s">
        <v>198</v>
      </c>
      <c r="I44" s="8" t="s">
        <v>199</v>
      </c>
      <c r="J44" s="8" t="s">
        <v>200</v>
      </c>
      <c r="K44" s="59"/>
    </row>
    <row r="45" spans="2:11" ht="30" customHeight="1" x14ac:dyDescent="0.3">
      <c r="B45" s="55"/>
      <c r="C45" s="58"/>
      <c r="D45" s="58"/>
      <c r="E45" s="58"/>
      <c r="F45" s="9">
        <v>3</v>
      </c>
      <c r="G45" s="8" t="s">
        <v>201</v>
      </c>
      <c r="H45" s="8" t="s">
        <v>202</v>
      </c>
      <c r="I45" s="8" t="s">
        <v>203</v>
      </c>
      <c r="J45" s="8" t="s">
        <v>204</v>
      </c>
      <c r="K45" s="59"/>
    </row>
    <row r="46" spans="2:11" ht="30" customHeight="1" x14ac:dyDescent="0.3">
      <c r="B46" s="60" t="s">
        <v>205</v>
      </c>
      <c r="C46" s="61" t="s">
        <v>206</v>
      </c>
      <c r="D46" s="61" t="s">
        <v>207</v>
      </c>
      <c r="E46" s="61" t="s">
        <v>208</v>
      </c>
      <c r="F46" s="12">
        <v>1</v>
      </c>
      <c r="G46" s="11" t="s">
        <v>209</v>
      </c>
      <c r="H46" s="11" t="s">
        <v>210</v>
      </c>
      <c r="I46" s="11" t="s">
        <v>211</v>
      </c>
      <c r="J46" s="11" t="s">
        <v>212</v>
      </c>
      <c r="K46" s="62">
        <v>1</v>
      </c>
    </row>
    <row r="47" spans="2:11" ht="30" customHeight="1" x14ac:dyDescent="0.3">
      <c r="B47" s="60"/>
      <c r="C47" s="61"/>
      <c r="D47" s="61"/>
      <c r="E47" s="61"/>
      <c r="F47" s="12">
        <v>2</v>
      </c>
      <c r="G47" s="11" t="s">
        <v>213</v>
      </c>
      <c r="H47" s="11" t="s">
        <v>214</v>
      </c>
      <c r="I47" s="11" t="s">
        <v>211</v>
      </c>
      <c r="J47" s="11" t="s">
        <v>215</v>
      </c>
      <c r="K47" s="62"/>
    </row>
    <row r="48" spans="2:11" ht="30" customHeight="1" x14ac:dyDescent="0.3">
      <c r="B48" s="60"/>
      <c r="C48" s="61"/>
      <c r="D48" s="61"/>
      <c r="E48" s="61"/>
      <c r="F48" s="12">
        <v>3</v>
      </c>
      <c r="G48" s="11" t="s">
        <v>216</v>
      </c>
      <c r="H48" s="11" t="s">
        <v>217</v>
      </c>
      <c r="I48" s="11" t="s">
        <v>218</v>
      </c>
      <c r="J48" s="11" t="s">
        <v>219</v>
      </c>
      <c r="K48" s="62"/>
    </row>
    <row r="49" spans="2:11" ht="30" customHeight="1" x14ac:dyDescent="0.3">
      <c r="B49" s="60" t="s">
        <v>220</v>
      </c>
      <c r="C49" s="58" t="s">
        <v>161</v>
      </c>
      <c r="D49" s="58" t="s">
        <v>221</v>
      </c>
      <c r="E49" s="58" t="s">
        <v>222</v>
      </c>
      <c r="F49" s="9">
        <v>1</v>
      </c>
      <c r="G49" s="8" t="s">
        <v>223</v>
      </c>
      <c r="H49" s="8" t="s">
        <v>224</v>
      </c>
      <c r="I49" s="8" t="s">
        <v>225</v>
      </c>
      <c r="J49" s="8" t="s">
        <v>226</v>
      </c>
      <c r="K49" s="59">
        <v>1</v>
      </c>
    </row>
    <row r="50" spans="2:11" ht="30" customHeight="1" x14ac:dyDescent="0.3">
      <c r="B50" s="60"/>
      <c r="C50" s="58"/>
      <c r="D50" s="58"/>
      <c r="E50" s="58"/>
      <c r="F50" s="9">
        <v>2</v>
      </c>
      <c r="G50" s="8" t="s">
        <v>227</v>
      </c>
      <c r="H50" s="8" t="s">
        <v>228</v>
      </c>
      <c r="I50" s="8" t="s">
        <v>229</v>
      </c>
      <c r="J50" s="8" t="s">
        <v>230</v>
      </c>
      <c r="K50" s="59"/>
    </row>
    <row r="51" spans="2:11" ht="30" customHeight="1" x14ac:dyDescent="0.3">
      <c r="B51" s="60"/>
      <c r="C51" s="58"/>
      <c r="D51" s="58"/>
      <c r="E51" s="58"/>
      <c r="F51" s="9">
        <v>3</v>
      </c>
      <c r="G51" s="8" t="s">
        <v>231</v>
      </c>
      <c r="H51" s="8" t="s">
        <v>232</v>
      </c>
      <c r="I51" s="8" t="s">
        <v>229</v>
      </c>
      <c r="J51" s="8" t="s">
        <v>233</v>
      </c>
      <c r="K51" s="59"/>
    </row>
    <row r="52" spans="2:11" ht="30" customHeight="1" x14ac:dyDescent="0.3">
      <c r="B52" s="60" t="s">
        <v>234</v>
      </c>
      <c r="C52" s="61" t="s">
        <v>32</v>
      </c>
      <c r="D52" s="61" t="s">
        <v>235</v>
      </c>
      <c r="E52" s="61" t="s">
        <v>236</v>
      </c>
      <c r="F52" s="12">
        <v>1</v>
      </c>
      <c r="G52" s="11" t="s">
        <v>237</v>
      </c>
      <c r="H52" s="11" t="s">
        <v>238</v>
      </c>
      <c r="I52" s="11" t="s">
        <v>239</v>
      </c>
      <c r="J52" s="11" t="s">
        <v>240</v>
      </c>
      <c r="K52" s="62">
        <v>1</v>
      </c>
    </row>
    <row r="53" spans="2:11" ht="30" customHeight="1" x14ac:dyDescent="0.3">
      <c r="B53" s="60"/>
      <c r="C53" s="61"/>
      <c r="D53" s="61"/>
      <c r="E53" s="61"/>
      <c r="F53" s="12">
        <v>2</v>
      </c>
      <c r="G53" s="11" t="s">
        <v>241</v>
      </c>
      <c r="H53" s="11" t="s">
        <v>242</v>
      </c>
      <c r="I53" s="11" t="s">
        <v>239</v>
      </c>
      <c r="J53" s="11" t="s">
        <v>243</v>
      </c>
      <c r="K53" s="62"/>
    </row>
    <row r="54" spans="2:11" ht="30" customHeight="1" x14ac:dyDescent="0.3">
      <c r="B54" s="60"/>
      <c r="C54" s="61"/>
      <c r="D54" s="61"/>
      <c r="E54" s="61"/>
      <c r="F54" s="12">
        <v>3</v>
      </c>
      <c r="G54" s="11" t="s">
        <v>244</v>
      </c>
      <c r="H54" s="11" t="s">
        <v>245</v>
      </c>
      <c r="I54" s="11" t="s">
        <v>239</v>
      </c>
      <c r="J54" s="11" t="s">
        <v>246</v>
      </c>
      <c r="K54" s="62"/>
    </row>
    <row r="55" spans="2:11" ht="30" customHeight="1" x14ac:dyDescent="0.3">
      <c r="B55" s="60" t="s">
        <v>247</v>
      </c>
      <c r="C55" s="58" t="s">
        <v>32</v>
      </c>
      <c r="D55" s="58" t="s">
        <v>248</v>
      </c>
      <c r="E55" s="58" t="s">
        <v>249</v>
      </c>
      <c r="F55" s="9">
        <v>1</v>
      </c>
      <c r="G55" s="8" t="s">
        <v>250</v>
      </c>
      <c r="H55" s="8" t="s">
        <v>251</v>
      </c>
      <c r="I55" s="8" t="s">
        <v>252</v>
      </c>
      <c r="J55" s="8" t="s">
        <v>253</v>
      </c>
      <c r="K55" s="59">
        <v>1</v>
      </c>
    </row>
    <row r="56" spans="2:11" ht="30" customHeight="1" x14ac:dyDescent="0.3">
      <c r="B56" s="60"/>
      <c r="C56" s="58"/>
      <c r="D56" s="58"/>
      <c r="E56" s="58"/>
      <c r="F56" s="9">
        <v>2</v>
      </c>
      <c r="G56" s="8" t="s">
        <v>254</v>
      </c>
      <c r="H56" s="8" t="s">
        <v>255</v>
      </c>
      <c r="I56" s="8" t="s">
        <v>256</v>
      </c>
      <c r="J56" s="8" t="s">
        <v>257</v>
      </c>
      <c r="K56" s="59"/>
    </row>
    <row r="57" spans="2:11" ht="30" customHeight="1" x14ac:dyDescent="0.3">
      <c r="B57" s="60"/>
      <c r="C57" s="58"/>
      <c r="D57" s="58"/>
      <c r="E57" s="58"/>
      <c r="F57" s="9">
        <v>3</v>
      </c>
      <c r="G57" s="8" t="s">
        <v>258</v>
      </c>
      <c r="H57" s="8" t="s">
        <v>259</v>
      </c>
      <c r="I57" s="8" t="s">
        <v>256</v>
      </c>
      <c r="J57" s="8" t="s">
        <v>260</v>
      </c>
      <c r="K57" s="59"/>
    </row>
    <row r="58" spans="2:11" ht="30" customHeight="1" x14ac:dyDescent="0.3">
      <c r="B58" s="60" t="s">
        <v>261</v>
      </c>
      <c r="C58" s="61" t="s">
        <v>74</v>
      </c>
      <c r="D58" s="61" t="s">
        <v>262</v>
      </c>
      <c r="E58" s="61" t="s">
        <v>263</v>
      </c>
      <c r="F58" s="12">
        <v>1</v>
      </c>
      <c r="G58" s="11" t="s">
        <v>264</v>
      </c>
      <c r="H58" s="11" t="s">
        <v>265</v>
      </c>
      <c r="I58" s="11" t="s">
        <v>266</v>
      </c>
      <c r="J58" s="11" t="s">
        <v>267</v>
      </c>
      <c r="K58" s="62">
        <v>1</v>
      </c>
    </row>
    <row r="59" spans="2:11" ht="30" customHeight="1" x14ac:dyDescent="0.3">
      <c r="B59" s="60"/>
      <c r="C59" s="61"/>
      <c r="D59" s="61"/>
      <c r="E59" s="61"/>
      <c r="F59" s="12">
        <v>2</v>
      </c>
      <c r="G59" s="11" t="s">
        <v>268</v>
      </c>
      <c r="H59" s="11" t="s">
        <v>95</v>
      </c>
      <c r="I59" s="11" t="s">
        <v>266</v>
      </c>
      <c r="J59" s="11" t="s">
        <v>269</v>
      </c>
      <c r="K59" s="62"/>
    </row>
    <row r="60" spans="2:11" ht="30" customHeight="1" x14ac:dyDescent="0.3">
      <c r="B60" s="60"/>
      <c r="C60" s="61"/>
      <c r="D60" s="61"/>
      <c r="E60" s="61"/>
      <c r="F60" s="12">
        <v>3</v>
      </c>
      <c r="G60" s="11" t="s">
        <v>270</v>
      </c>
      <c r="H60" s="11" t="s">
        <v>271</v>
      </c>
      <c r="I60" s="11" t="s">
        <v>256</v>
      </c>
      <c r="J60" s="11" t="s">
        <v>272</v>
      </c>
      <c r="K60" s="62"/>
    </row>
    <row r="61" spans="2:11" ht="30" customHeight="1" x14ac:dyDescent="0.3">
      <c r="B61" s="60" t="s">
        <v>273</v>
      </c>
      <c r="C61" s="58" t="s">
        <v>1623</v>
      </c>
      <c r="D61" s="58" t="s">
        <v>274</v>
      </c>
      <c r="E61" s="58" t="s">
        <v>275</v>
      </c>
      <c r="F61" s="9">
        <v>1</v>
      </c>
      <c r="G61" s="8" t="s">
        <v>276</v>
      </c>
      <c r="H61" s="8" t="s">
        <v>277</v>
      </c>
      <c r="I61" s="8" t="s">
        <v>256</v>
      </c>
      <c r="J61" s="8" t="s">
        <v>278</v>
      </c>
      <c r="K61" s="59">
        <v>1</v>
      </c>
    </row>
    <row r="62" spans="2:11" ht="30" customHeight="1" x14ac:dyDescent="0.3">
      <c r="B62" s="60"/>
      <c r="C62" s="58"/>
      <c r="D62" s="58"/>
      <c r="E62" s="58"/>
      <c r="F62" s="9">
        <v>2</v>
      </c>
      <c r="G62" s="8" t="s">
        <v>279</v>
      </c>
      <c r="H62" s="8" t="s">
        <v>280</v>
      </c>
      <c r="I62" s="8" t="s">
        <v>256</v>
      </c>
      <c r="J62" s="8" t="s">
        <v>281</v>
      </c>
      <c r="K62" s="59"/>
    </row>
    <row r="63" spans="2:11" ht="30" customHeight="1" x14ac:dyDescent="0.3">
      <c r="B63" s="60"/>
      <c r="C63" s="58"/>
      <c r="D63" s="58"/>
      <c r="E63" s="58"/>
      <c r="F63" s="9">
        <v>3</v>
      </c>
      <c r="G63" s="8" t="s">
        <v>282</v>
      </c>
      <c r="H63" s="8" t="s">
        <v>283</v>
      </c>
      <c r="I63" s="8" t="s">
        <v>256</v>
      </c>
      <c r="J63" s="8" t="s">
        <v>284</v>
      </c>
      <c r="K63" s="59"/>
    </row>
    <row r="64" spans="2:11" ht="30" customHeight="1" x14ac:dyDescent="0.3">
      <c r="B64" s="60" t="s">
        <v>285</v>
      </c>
      <c r="C64" s="61" t="s">
        <v>1623</v>
      </c>
      <c r="D64" s="61" t="s">
        <v>286</v>
      </c>
      <c r="E64" s="61" t="s">
        <v>287</v>
      </c>
      <c r="F64" s="12">
        <v>1</v>
      </c>
      <c r="G64" s="11" t="s">
        <v>288</v>
      </c>
      <c r="H64" s="11" t="s">
        <v>289</v>
      </c>
      <c r="I64" s="11" t="s">
        <v>290</v>
      </c>
      <c r="J64" s="11" t="s">
        <v>291</v>
      </c>
      <c r="K64" s="62">
        <v>1</v>
      </c>
    </row>
    <row r="65" spans="2:11" ht="42.75" customHeight="1" x14ac:dyDescent="0.3">
      <c r="B65" s="60"/>
      <c r="C65" s="61"/>
      <c r="D65" s="61"/>
      <c r="E65" s="61"/>
      <c r="F65" s="12">
        <v>2</v>
      </c>
      <c r="G65" s="11" t="s">
        <v>292</v>
      </c>
      <c r="H65" s="11" t="s">
        <v>293</v>
      </c>
      <c r="I65" s="11" t="s">
        <v>294</v>
      </c>
      <c r="J65" s="11" t="s">
        <v>295</v>
      </c>
      <c r="K65" s="62"/>
    </row>
    <row r="66" spans="2:11" ht="30" customHeight="1" x14ac:dyDescent="0.3">
      <c r="B66" s="60"/>
      <c r="C66" s="61"/>
      <c r="D66" s="61"/>
      <c r="E66" s="61"/>
      <c r="F66" s="12">
        <v>3</v>
      </c>
      <c r="G66" s="11" t="s">
        <v>296</v>
      </c>
      <c r="H66" s="11" t="s">
        <v>297</v>
      </c>
      <c r="I66" s="11" t="s">
        <v>298</v>
      </c>
      <c r="J66" s="11" t="s">
        <v>299</v>
      </c>
      <c r="K66" s="62"/>
    </row>
    <row r="67" spans="2:11" ht="16.5" customHeight="1" x14ac:dyDescent="0.3">
      <c r="B67" s="60" t="s">
        <v>300</v>
      </c>
      <c r="C67" s="58" t="s">
        <v>1623</v>
      </c>
      <c r="D67" s="58" t="s">
        <v>301</v>
      </c>
      <c r="E67" s="58" t="s">
        <v>302</v>
      </c>
      <c r="F67" s="9">
        <v>1</v>
      </c>
      <c r="G67" s="8" t="s">
        <v>303</v>
      </c>
      <c r="H67" s="8" t="s">
        <v>304</v>
      </c>
      <c r="I67" s="8" t="s">
        <v>305</v>
      </c>
      <c r="J67" s="8" t="s">
        <v>306</v>
      </c>
      <c r="K67" s="59">
        <v>1</v>
      </c>
    </row>
    <row r="68" spans="2:11" ht="30" customHeight="1" x14ac:dyDescent="0.3">
      <c r="B68" s="60"/>
      <c r="C68" s="58"/>
      <c r="D68" s="58"/>
      <c r="E68" s="58"/>
      <c r="F68" s="9">
        <v>2</v>
      </c>
      <c r="G68" s="8" t="s">
        <v>307</v>
      </c>
      <c r="H68" s="8" t="s">
        <v>308</v>
      </c>
      <c r="I68" s="8" t="s">
        <v>309</v>
      </c>
      <c r="J68" s="8" t="s">
        <v>310</v>
      </c>
      <c r="K68" s="59"/>
    </row>
    <row r="69" spans="2:11" ht="30" customHeight="1" x14ac:dyDescent="0.3">
      <c r="B69" s="60"/>
      <c r="C69" s="58"/>
      <c r="D69" s="58"/>
      <c r="E69" s="58"/>
      <c r="F69" s="9">
        <v>3</v>
      </c>
      <c r="G69" s="8" t="s">
        <v>311</v>
      </c>
      <c r="H69" s="8" t="s">
        <v>312</v>
      </c>
      <c r="I69" s="8" t="s">
        <v>313</v>
      </c>
      <c r="J69" s="8" t="s">
        <v>314</v>
      </c>
      <c r="K69" s="59"/>
    </row>
    <row r="70" spans="2:11" ht="30" customHeight="1" x14ac:dyDescent="0.3">
      <c r="B70" s="60" t="s">
        <v>315</v>
      </c>
      <c r="C70" s="61" t="s">
        <v>1623</v>
      </c>
      <c r="D70" s="61" t="s">
        <v>316</v>
      </c>
      <c r="E70" s="61" t="s">
        <v>317</v>
      </c>
      <c r="F70" s="12">
        <v>1</v>
      </c>
      <c r="G70" s="11" t="s">
        <v>318</v>
      </c>
      <c r="H70" s="11" t="s">
        <v>319</v>
      </c>
      <c r="I70" s="11" t="s">
        <v>320</v>
      </c>
      <c r="J70" s="11" t="s">
        <v>321</v>
      </c>
      <c r="K70" s="62">
        <v>1</v>
      </c>
    </row>
    <row r="71" spans="2:11" ht="30" customHeight="1" x14ac:dyDescent="0.3">
      <c r="B71" s="60"/>
      <c r="C71" s="61"/>
      <c r="D71" s="61"/>
      <c r="E71" s="61"/>
      <c r="F71" s="12">
        <v>2</v>
      </c>
      <c r="G71" s="11" t="s">
        <v>322</v>
      </c>
      <c r="H71" s="11" t="s">
        <v>323</v>
      </c>
      <c r="I71" s="11" t="s">
        <v>324</v>
      </c>
      <c r="J71" s="11" t="s">
        <v>325</v>
      </c>
      <c r="K71" s="62"/>
    </row>
    <row r="72" spans="2:11" ht="30" customHeight="1" x14ac:dyDescent="0.3">
      <c r="B72" s="60"/>
      <c r="C72" s="61"/>
      <c r="D72" s="61"/>
      <c r="E72" s="61"/>
      <c r="F72" s="12">
        <v>3</v>
      </c>
      <c r="G72" s="11" t="s">
        <v>326</v>
      </c>
      <c r="H72" s="11" t="s">
        <v>327</v>
      </c>
      <c r="I72" s="11" t="s">
        <v>328</v>
      </c>
      <c r="J72" s="11" t="s">
        <v>329</v>
      </c>
      <c r="K72" s="62"/>
    </row>
    <row r="73" spans="2:11" ht="30" customHeight="1" x14ac:dyDescent="0.3">
      <c r="B73" s="60" t="s">
        <v>330</v>
      </c>
      <c r="C73" s="58" t="s">
        <v>161</v>
      </c>
      <c r="D73" s="58" t="s">
        <v>331</v>
      </c>
      <c r="E73" s="58" t="s">
        <v>332</v>
      </c>
      <c r="F73" s="9">
        <v>1</v>
      </c>
      <c r="G73" s="8" t="s">
        <v>333</v>
      </c>
      <c r="H73" s="8" t="s">
        <v>334</v>
      </c>
      <c r="I73" s="8" t="s">
        <v>335</v>
      </c>
      <c r="J73" s="8" t="s">
        <v>336</v>
      </c>
      <c r="K73" s="59">
        <v>1</v>
      </c>
    </row>
    <row r="74" spans="2:11" ht="16.5" customHeight="1" x14ac:dyDescent="0.3">
      <c r="B74" s="60"/>
      <c r="C74" s="58"/>
      <c r="D74" s="58"/>
      <c r="E74" s="58"/>
      <c r="F74" s="9">
        <v>2</v>
      </c>
      <c r="G74" s="8" t="s">
        <v>337</v>
      </c>
      <c r="H74" s="8" t="s">
        <v>338</v>
      </c>
      <c r="I74" s="8" t="s">
        <v>339</v>
      </c>
      <c r="J74" s="8" t="s">
        <v>340</v>
      </c>
      <c r="K74" s="59"/>
    </row>
    <row r="75" spans="2:11" ht="30" customHeight="1" x14ac:dyDescent="0.3">
      <c r="B75" s="60"/>
      <c r="C75" s="58"/>
      <c r="D75" s="58"/>
      <c r="E75" s="58"/>
      <c r="F75" s="9">
        <v>3</v>
      </c>
      <c r="G75" s="8" t="s">
        <v>341</v>
      </c>
      <c r="H75" s="8" t="s">
        <v>338</v>
      </c>
      <c r="I75" s="8" t="s">
        <v>339</v>
      </c>
      <c r="J75" s="8" t="s">
        <v>342</v>
      </c>
      <c r="K75" s="59"/>
    </row>
    <row r="76" spans="2:11" ht="30" customHeight="1" x14ac:dyDescent="0.3">
      <c r="B76" s="60" t="s">
        <v>343</v>
      </c>
      <c r="C76" s="61" t="s">
        <v>161</v>
      </c>
      <c r="D76" s="61" t="s">
        <v>344</v>
      </c>
      <c r="E76" s="61" t="s">
        <v>345</v>
      </c>
      <c r="F76" s="12">
        <v>1</v>
      </c>
      <c r="G76" s="11" t="s">
        <v>111</v>
      </c>
      <c r="H76" s="11" t="s">
        <v>346</v>
      </c>
      <c r="I76" s="11" t="s">
        <v>347</v>
      </c>
      <c r="J76" s="11" t="s">
        <v>226</v>
      </c>
      <c r="K76" s="62">
        <v>1</v>
      </c>
    </row>
    <row r="77" spans="2:11" ht="30" customHeight="1" x14ac:dyDescent="0.3">
      <c r="B77" s="60"/>
      <c r="C77" s="61"/>
      <c r="D77" s="61"/>
      <c r="E77" s="61"/>
      <c r="F77" s="12">
        <v>2</v>
      </c>
      <c r="G77" s="11" t="s">
        <v>348</v>
      </c>
      <c r="H77" s="11" t="s">
        <v>349</v>
      </c>
      <c r="I77" s="11" t="s">
        <v>350</v>
      </c>
      <c r="J77" s="11" t="s">
        <v>351</v>
      </c>
      <c r="K77" s="62"/>
    </row>
    <row r="78" spans="2:11" ht="30" customHeight="1" x14ac:dyDescent="0.3">
      <c r="B78" s="60"/>
      <c r="C78" s="61"/>
      <c r="D78" s="61"/>
      <c r="E78" s="61"/>
      <c r="F78" s="12">
        <v>3</v>
      </c>
      <c r="G78" s="11" t="s">
        <v>352</v>
      </c>
      <c r="H78" s="11" t="s">
        <v>353</v>
      </c>
      <c r="I78" s="11" t="s">
        <v>354</v>
      </c>
      <c r="J78" s="11" t="s">
        <v>355</v>
      </c>
      <c r="K78" s="62"/>
    </row>
    <row r="79" spans="2:11" ht="30" customHeight="1" x14ac:dyDescent="0.3">
      <c r="B79" s="60" t="s">
        <v>356</v>
      </c>
      <c r="C79" s="58" t="s">
        <v>1623</v>
      </c>
      <c r="D79" s="58" t="s">
        <v>357</v>
      </c>
      <c r="E79" s="58" t="s">
        <v>358</v>
      </c>
      <c r="F79" s="9">
        <v>1</v>
      </c>
      <c r="G79" s="8" t="s">
        <v>359</v>
      </c>
      <c r="H79" s="8" t="s">
        <v>360</v>
      </c>
      <c r="I79" s="8" t="s">
        <v>361</v>
      </c>
      <c r="J79" s="8" t="s">
        <v>362</v>
      </c>
      <c r="K79" s="59">
        <v>1</v>
      </c>
    </row>
    <row r="80" spans="2:11" ht="16.5" customHeight="1" x14ac:dyDescent="0.3">
      <c r="B80" s="60"/>
      <c r="C80" s="58"/>
      <c r="D80" s="58"/>
      <c r="E80" s="58"/>
      <c r="F80" s="9">
        <v>2</v>
      </c>
      <c r="G80" s="8" t="s">
        <v>363</v>
      </c>
      <c r="H80" s="8" t="s">
        <v>364</v>
      </c>
      <c r="I80" s="8" t="s">
        <v>365</v>
      </c>
      <c r="J80" s="8" t="s">
        <v>366</v>
      </c>
      <c r="K80" s="59"/>
    </row>
    <row r="81" spans="2:11" ht="30" customHeight="1" x14ac:dyDescent="0.3">
      <c r="B81" s="60"/>
      <c r="C81" s="58"/>
      <c r="D81" s="58"/>
      <c r="E81" s="58"/>
      <c r="F81" s="9">
        <v>3</v>
      </c>
      <c r="G81" s="8" t="s">
        <v>367</v>
      </c>
      <c r="H81" s="8" t="s">
        <v>368</v>
      </c>
      <c r="I81" s="8" t="s">
        <v>369</v>
      </c>
      <c r="J81" s="8" t="s">
        <v>370</v>
      </c>
      <c r="K81" s="59"/>
    </row>
    <row r="82" spans="2:11" ht="30" customHeight="1" x14ac:dyDescent="0.3">
      <c r="B82" s="60" t="s">
        <v>371</v>
      </c>
      <c r="C82" s="58" t="s">
        <v>206</v>
      </c>
      <c r="D82" s="58" t="s">
        <v>372</v>
      </c>
      <c r="E82" s="58" t="s">
        <v>373</v>
      </c>
      <c r="F82" s="9">
        <v>1</v>
      </c>
      <c r="G82" s="8" t="s">
        <v>374</v>
      </c>
      <c r="H82" s="8" t="s">
        <v>375</v>
      </c>
      <c r="I82" s="8" t="s">
        <v>376</v>
      </c>
      <c r="J82" s="8" t="s">
        <v>377</v>
      </c>
      <c r="K82" s="59">
        <v>1</v>
      </c>
    </row>
    <row r="83" spans="2:11" ht="16.5" customHeight="1" x14ac:dyDescent="0.3">
      <c r="B83" s="60"/>
      <c r="C83" s="58"/>
      <c r="D83" s="58"/>
      <c r="E83" s="58"/>
      <c r="F83" s="9">
        <v>2</v>
      </c>
      <c r="G83" s="8" t="s">
        <v>378</v>
      </c>
      <c r="H83" s="8" t="s">
        <v>379</v>
      </c>
      <c r="I83" s="8" t="s">
        <v>380</v>
      </c>
      <c r="J83" s="8" t="s">
        <v>381</v>
      </c>
      <c r="K83" s="59"/>
    </row>
    <row r="84" spans="2:11" ht="30" customHeight="1" x14ac:dyDescent="0.3">
      <c r="B84" s="60"/>
      <c r="C84" s="58"/>
      <c r="D84" s="58"/>
      <c r="E84" s="58"/>
      <c r="F84" s="9">
        <v>3</v>
      </c>
      <c r="G84" s="8" t="s">
        <v>382</v>
      </c>
      <c r="H84" s="8" t="s">
        <v>383</v>
      </c>
      <c r="I84" s="8" t="s">
        <v>384</v>
      </c>
      <c r="J84" s="8" t="s">
        <v>385</v>
      </c>
      <c r="K84" s="59"/>
    </row>
    <row r="86" spans="2:11" ht="21.75" customHeight="1" x14ac:dyDescent="0.3">
      <c r="B86" s="54" t="s">
        <v>386</v>
      </c>
      <c r="C86" s="54"/>
      <c r="D86" s="54"/>
      <c r="E86" s="54"/>
      <c r="F86" s="54"/>
      <c r="G86" s="54"/>
      <c r="H86" s="54"/>
      <c r="I86" s="54"/>
      <c r="J86" s="54"/>
      <c r="K86" s="54"/>
    </row>
    <row r="87" spans="2:11" ht="30" customHeight="1" x14ac:dyDescent="0.3">
      <c r="B87" s="55" t="s">
        <v>387</v>
      </c>
      <c r="C87" s="56" t="s">
        <v>32</v>
      </c>
      <c r="D87" s="56" t="s">
        <v>388</v>
      </c>
      <c r="E87" s="56" t="s">
        <v>389</v>
      </c>
      <c r="F87" s="7">
        <v>1</v>
      </c>
      <c r="G87" s="6" t="s">
        <v>390</v>
      </c>
      <c r="H87" s="6" t="s">
        <v>391</v>
      </c>
      <c r="I87" s="6" t="s">
        <v>392</v>
      </c>
      <c r="J87" s="6" t="s">
        <v>393</v>
      </c>
      <c r="K87" s="57">
        <v>2</v>
      </c>
    </row>
    <row r="88" spans="2:11" ht="30" customHeight="1" x14ac:dyDescent="0.3">
      <c r="B88" s="55"/>
      <c r="C88" s="56"/>
      <c r="D88" s="56"/>
      <c r="E88" s="56"/>
      <c r="F88" s="7">
        <v>2</v>
      </c>
      <c r="G88" s="6" t="s">
        <v>394</v>
      </c>
      <c r="H88" s="6" t="s">
        <v>395</v>
      </c>
      <c r="I88" s="6" t="s">
        <v>392</v>
      </c>
      <c r="J88" s="6" t="s">
        <v>396</v>
      </c>
      <c r="K88" s="57"/>
    </row>
    <row r="89" spans="2:11" ht="30" customHeight="1" x14ac:dyDescent="0.3">
      <c r="B89" s="55"/>
      <c r="C89" s="56"/>
      <c r="D89" s="56"/>
      <c r="E89" s="56"/>
      <c r="F89" s="7">
        <v>3</v>
      </c>
      <c r="G89" s="6" t="s">
        <v>397</v>
      </c>
      <c r="H89" s="6" t="s">
        <v>398</v>
      </c>
      <c r="I89" s="6" t="s">
        <v>392</v>
      </c>
      <c r="J89" s="6" t="s">
        <v>399</v>
      </c>
      <c r="K89" s="57"/>
    </row>
    <row r="90" spans="2:11" ht="30" customHeight="1" x14ac:dyDescent="0.3">
      <c r="B90" s="55" t="s">
        <v>400</v>
      </c>
      <c r="C90" s="58" t="s">
        <v>32</v>
      </c>
      <c r="D90" s="58" t="s">
        <v>401</v>
      </c>
      <c r="E90" s="58" t="s">
        <v>402</v>
      </c>
      <c r="F90" s="9">
        <v>1</v>
      </c>
      <c r="G90" s="8" t="s">
        <v>403</v>
      </c>
      <c r="H90" s="8" t="s">
        <v>404</v>
      </c>
      <c r="I90" s="8" t="s">
        <v>405</v>
      </c>
      <c r="J90" s="8" t="s">
        <v>406</v>
      </c>
      <c r="K90" s="59">
        <v>2</v>
      </c>
    </row>
    <row r="91" spans="2:11" ht="30" customHeight="1" x14ac:dyDescent="0.3">
      <c r="B91" s="55"/>
      <c r="C91" s="58"/>
      <c r="D91" s="58"/>
      <c r="E91" s="58"/>
      <c r="F91" s="9">
        <v>2</v>
      </c>
      <c r="G91" s="8" t="s">
        <v>407</v>
      </c>
      <c r="H91" s="8" t="s">
        <v>408</v>
      </c>
      <c r="I91" s="8" t="s">
        <v>409</v>
      </c>
      <c r="J91" s="8" t="s">
        <v>410</v>
      </c>
      <c r="K91" s="59"/>
    </row>
    <row r="92" spans="2:11" ht="30" customHeight="1" x14ac:dyDescent="0.3">
      <c r="B92" s="55"/>
      <c r="C92" s="58"/>
      <c r="D92" s="58"/>
      <c r="E92" s="58"/>
      <c r="F92" s="9">
        <v>3</v>
      </c>
      <c r="G92" s="8" t="s">
        <v>411</v>
      </c>
      <c r="H92" s="8" t="s">
        <v>412</v>
      </c>
      <c r="I92" s="8" t="s">
        <v>413</v>
      </c>
      <c r="J92" s="8" t="s">
        <v>414</v>
      </c>
      <c r="K92" s="59"/>
    </row>
    <row r="93" spans="2:11" ht="30" customHeight="1" x14ac:dyDescent="0.3">
      <c r="B93" s="55" t="s">
        <v>415</v>
      </c>
      <c r="C93" s="56" t="s">
        <v>74</v>
      </c>
      <c r="D93" s="56" t="s">
        <v>416</v>
      </c>
      <c r="E93" s="56" t="s">
        <v>417</v>
      </c>
      <c r="F93" s="7">
        <v>1</v>
      </c>
      <c r="G93" s="6" t="s">
        <v>418</v>
      </c>
      <c r="H93" s="6" t="s">
        <v>419</v>
      </c>
      <c r="I93" s="6" t="s">
        <v>420</v>
      </c>
      <c r="J93" s="6" t="s">
        <v>421</v>
      </c>
      <c r="K93" s="57">
        <v>2</v>
      </c>
    </row>
    <row r="94" spans="2:11" ht="16.5" customHeight="1" x14ac:dyDescent="0.3">
      <c r="B94" s="55"/>
      <c r="C94" s="56"/>
      <c r="D94" s="56"/>
      <c r="E94" s="56"/>
      <c r="F94" s="7">
        <v>2</v>
      </c>
      <c r="G94" s="6" t="s">
        <v>422</v>
      </c>
      <c r="H94" s="6" t="s">
        <v>423</v>
      </c>
      <c r="I94" s="6" t="s">
        <v>424</v>
      </c>
      <c r="J94" s="6" t="s">
        <v>425</v>
      </c>
      <c r="K94" s="57"/>
    </row>
    <row r="95" spans="2:11" ht="16.5" customHeight="1" x14ac:dyDescent="0.3">
      <c r="B95" s="55"/>
      <c r="C95" s="56"/>
      <c r="D95" s="56"/>
      <c r="E95" s="56"/>
      <c r="F95" s="7">
        <v>3</v>
      </c>
      <c r="G95" s="6" t="s">
        <v>426</v>
      </c>
      <c r="H95" s="6" t="s">
        <v>427</v>
      </c>
      <c r="I95" s="6" t="s">
        <v>428</v>
      </c>
      <c r="J95" s="6" t="s">
        <v>429</v>
      </c>
      <c r="K95" s="57"/>
    </row>
    <row r="96" spans="2:11" ht="30" customHeight="1" x14ac:dyDescent="0.3">
      <c r="B96" s="55" t="s">
        <v>430</v>
      </c>
      <c r="C96" s="58" t="s">
        <v>161</v>
      </c>
      <c r="D96" s="58" t="s">
        <v>431</v>
      </c>
      <c r="E96" s="58" t="s">
        <v>432</v>
      </c>
      <c r="F96" s="9">
        <v>1</v>
      </c>
      <c r="G96" s="8" t="s">
        <v>433</v>
      </c>
      <c r="H96" s="8" t="s">
        <v>434</v>
      </c>
      <c r="I96" s="8" t="s">
        <v>435</v>
      </c>
      <c r="J96" s="8" t="s">
        <v>436</v>
      </c>
      <c r="K96" s="59">
        <v>2</v>
      </c>
    </row>
    <row r="97" spans="2:11" ht="30" customHeight="1" x14ac:dyDescent="0.3">
      <c r="B97" s="55"/>
      <c r="C97" s="58"/>
      <c r="D97" s="58"/>
      <c r="E97" s="58"/>
      <c r="F97" s="9">
        <v>2</v>
      </c>
      <c r="G97" s="8" t="s">
        <v>437</v>
      </c>
      <c r="H97" s="8" t="s">
        <v>438</v>
      </c>
      <c r="I97" s="8" t="s">
        <v>439</v>
      </c>
      <c r="J97" s="8" t="s">
        <v>440</v>
      </c>
      <c r="K97" s="59"/>
    </row>
    <row r="98" spans="2:11" ht="30" customHeight="1" x14ac:dyDescent="0.3">
      <c r="B98" s="55"/>
      <c r="C98" s="58"/>
      <c r="D98" s="58"/>
      <c r="E98" s="58"/>
      <c r="F98" s="9">
        <v>3</v>
      </c>
      <c r="G98" s="8" t="s">
        <v>441</v>
      </c>
      <c r="H98" s="8" t="s">
        <v>442</v>
      </c>
      <c r="I98" s="8" t="s">
        <v>443</v>
      </c>
      <c r="J98" s="8" t="s">
        <v>444</v>
      </c>
      <c r="K98" s="59"/>
    </row>
    <row r="99" spans="2:11" ht="30" customHeight="1" x14ac:dyDescent="0.3">
      <c r="B99" s="60" t="s">
        <v>445</v>
      </c>
      <c r="C99" s="61" t="s">
        <v>32</v>
      </c>
      <c r="D99" s="61" t="s">
        <v>446</v>
      </c>
      <c r="E99" s="61" t="s">
        <v>447</v>
      </c>
      <c r="F99" s="12">
        <v>1</v>
      </c>
      <c r="G99" s="11" t="s">
        <v>448</v>
      </c>
      <c r="H99" s="11" t="s">
        <v>449</v>
      </c>
      <c r="I99" s="11" t="s">
        <v>450</v>
      </c>
      <c r="J99" s="11" t="s">
        <v>451</v>
      </c>
      <c r="K99" s="62">
        <v>2</v>
      </c>
    </row>
    <row r="100" spans="2:11" ht="30" customHeight="1" x14ac:dyDescent="0.3">
      <c r="B100" s="60"/>
      <c r="C100" s="61"/>
      <c r="D100" s="61"/>
      <c r="E100" s="61"/>
      <c r="F100" s="12">
        <v>2</v>
      </c>
      <c r="G100" s="11" t="s">
        <v>452</v>
      </c>
      <c r="H100" s="11" t="s">
        <v>453</v>
      </c>
      <c r="I100" s="11" t="s">
        <v>454</v>
      </c>
      <c r="J100" s="11" t="s">
        <v>455</v>
      </c>
      <c r="K100" s="62"/>
    </row>
    <row r="101" spans="2:11" ht="16.5" customHeight="1" x14ac:dyDescent="0.3">
      <c r="B101" s="60"/>
      <c r="C101" s="61"/>
      <c r="D101" s="61"/>
      <c r="E101" s="61"/>
      <c r="F101" s="12">
        <v>3</v>
      </c>
      <c r="G101" s="11" t="s">
        <v>456</v>
      </c>
      <c r="H101" s="11" t="s">
        <v>457</v>
      </c>
      <c r="I101" s="11" t="s">
        <v>450</v>
      </c>
      <c r="J101" s="11" t="s">
        <v>458</v>
      </c>
      <c r="K101" s="62"/>
    </row>
    <row r="102" spans="2:11" ht="30" customHeight="1" x14ac:dyDescent="0.3">
      <c r="B102" s="60" t="s">
        <v>459</v>
      </c>
      <c r="C102" s="58" t="s">
        <v>32</v>
      </c>
      <c r="D102" s="58" t="s">
        <v>460</v>
      </c>
      <c r="E102" s="58" t="s">
        <v>461</v>
      </c>
      <c r="F102" s="9">
        <v>1</v>
      </c>
      <c r="G102" s="8" t="s">
        <v>462</v>
      </c>
      <c r="H102" s="8" t="s">
        <v>463</v>
      </c>
      <c r="I102" s="8" t="s">
        <v>464</v>
      </c>
      <c r="J102" s="8" t="s">
        <v>465</v>
      </c>
      <c r="K102" s="59">
        <v>2</v>
      </c>
    </row>
    <row r="103" spans="2:11" ht="30" customHeight="1" x14ac:dyDescent="0.3">
      <c r="B103" s="60"/>
      <c r="C103" s="58"/>
      <c r="D103" s="58"/>
      <c r="E103" s="58"/>
      <c r="F103" s="9">
        <v>2</v>
      </c>
      <c r="G103" s="8" t="s">
        <v>466</v>
      </c>
      <c r="H103" s="8" t="s">
        <v>463</v>
      </c>
      <c r="I103" s="8" t="s">
        <v>467</v>
      </c>
      <c r="J103" s="8" t="s">
        <v>468</v>
      </c>
      <c r="K103" s="59"/>
    </row>
    <row r="104" spans="2:11" ht="30" customHeight="1" x14ac:dyDescent="0.3">
      <c r="B104" s="60"/>
      <c r="C104" s="58"/>
      <c r="D104" s="58"/>
      <c r="E104" s="58"/>
      <c r="F104" s="9">
        <v>3</v>
      </c>
      <c r="G104" s="8" t="s">
        <v>469</v>
      </c>
      <c r="H104" s="8" t="s">
        <v>470</v>
      </c>
      <c r="I104" s="8" t="s">
        <v>471</v>
      </c>
      <c r="J104" s="8" t="s">
        <v>472</v>
      </c>
      <c r="K104" s="59"/>
    </row>
    <row r="105" spans="2:11" ht="30" customHeight="1" x14ac:dyDescent="0.3">
      <c r="B105" s="60" t="s">
        <v>473</v>
      </c>
      <c r="C105" s="61" t="s">
        <v>74</v>
      </c>
      <c r="D105" s="61" t="s">
        <v>474</v>
      </c>
      <c r="E105" s="61" t="s">
        <v>475</v>
      </c>
      <c r="F105" s="12">
        <v>1</v>
      </c>
      <c r="G105" s="11" t="s">
        <v>476</v>
      </c>
      <c r="H105" s="11" t="s">
        <v>477</v>
      </c>
      <c r="I105" s="11" t="s">
        <v>478</v>
      </c>
      <c r="J105" s="11" t="s">
        <v>479</v>
      </c>
      <c r="K105" s="62">
        <v>2</v>
      </c>
    </row>
    <row r="106" spans="2:11" ht="30" customHeight="1" x14ac:dyDescent="0.3">
      <c r="B106" s="60"/>
      <c r="C106" s="61"/>
      <c r="D106" s="61"/>
      <c r="E106" s="61"/>
      <c r="F106" s="12">
        <v>2</v>
      </c>
      <c r="G106" s="11" t="s">
        <v>480</v>
      </c>
      <c r="H106" s="11" t="s">
        <v>481</v>
      </c>
      <c r="I106" s="11" t="s">
        <v>478</v>
      </c>
      <c r="J106" s="11" t="s">
        <v>482</v>
      </c>
      <c r="K106" s="62"/>
    </row>
    <row r="107" spans="2:11" ht="30" customHeight="1" x14ac:dyDescent="0.3">
      <c r="B107" s="60"/>
      <c r="C107" s="61"/>
      <c r="D107" s="61"/>
      <c r="E107" s="61"/>
      <c r="F107" s="12">
        <v>3</v>
      </c>
      <c r="G107" s="11" t="s">
        <v>101</v>
      </c>
      <c r="H107" s="11" t="s">
        <v>483</v>
      </c>
      <c r="I107" s="11" t="s">
        <v>478</v>
      </c>
      <c r="J107" s="11" t="s">
        <v>484</v>
      </c>
      <c r="K107" s="62"/>
    </row>
    <row r="108" spans="2:11" ht="30" customHeight="1" x14ac:dyDescent="0.3">
      <c r="B108" s="60" t="s">
        <v>485</v>
      </c>
      <c r="C108" s="58" t="s">
        <v>1623</v>
      </c>
      <c r="D108" s="58" t="s">
        <v>486</v>
      </c>
      <c r="E108" s="58" t="s">
        <v>487</v>
      </c>
      <c r="F108" s="9">
        <v>1</v>
      </c>
      <c r="G108" s="8" t="s">
        <v>488</v>
      </c>
      <c r="H108" s="8" t="s">
        <v>489</v>
      </c>
      <c r="I108" s="8" t="s">
        <v>365</v>
      </c>
      <c r="J108" s="8" t="s">
        <v>490</v>
      </c>
      <c r="K108" s="59">
        <v>2</v>
      </c>
    </row>
    <row r="109" spans="2:11" ht="30" customHeight="1" x14ac:dyDescent="0.3">
      <c r="B109" s="60"/>
      <c r="C109" s="58"/>
      <c r="D109" s="58"/>
      <c r="E109" s="58"/>
      <c r="F109" s="9">
        <v>2</v>
      </c>
      <c r="G109" s="8" t="s">
        <v>491</v>
      </c>
      <c r="H109" s="8" t="s">
        <v>492</v>
      </c>
      <c r="I109" s="8" t="s">
        <v>365</v>
      </c>
      <c r="J109" s="8" t="s">
        <v>493</v>
      </c>
      <c r="K109" s="59"/>
    </row>
    <row r="110" spans="2:11" ht="30" customHeight="1" x14ac:dyDescent="0.3">
      <c r="B110" s="60"/>
      <c r="C110" s="58"/>
      <c r="D110" s="58"/>
      <c r="E110" s="58"/>
      <c r="F110" s="9">
        <v>3</v>
      </c>
      <c r="G110" s="8" t="s">
        <v>494</v>
      </c>
      <c r="H110" s="8" t="s">
        <v>495</v>
      </c>
      <c r="I110" s="8" t="s">
        <v>478</v>
      </c>
      <c r="J110" s="8" t="s">
        <v>496</v>
      </c>
      <c r="K110" s="59"/>
    </row>
    <row r="112" spans="2:11" ht="21.75" customHeight="1" x14ac:dyDescent="0.3">
      <c r="B112" s="54" t="s">
        <v>497</v>
      </c>
      <c r="C112" s="54"/>
      <c r="D112" s="54"/>
      <c r="E112" s="54"/>
      <c r="F112" s="54"/>
      <c r="G112" s="54"/>
      <c r="H112" s="54"/>
      <c r="I112" s="54"/>
      <c r="J112" s="54"/>
      <c r="K112" s="54"/>
    </row>
    <row r="113" spans="2:11" ht="30" customHeight="1" x14ac:dyDescent="0.3">
      <c r="B113" s="55" t="s">
        <v>498</v>
      </c>
      <c r="C113" s="56" t="s">
        <v>74</v>
      </c>
      <c r="D113" s="56" t="s">
        <v>499</v>
      </c>
      <c r="E113" s="56" t="s">
        <v>500</v>
      </c>
      <c r="F113" s="7">
        <v>1</v>
      </c>
      <c r="G113" s="6" t="s">
        <v>501</v>
      </c>
      <c r="H113" s="6" t="s">
        <v>502</v>
      </c>
      <c r="I113" s="6" t="s">
        <v>503</v>
      </c>
      <c r="J113" s="6" t="s">
        <v>504</v>
      </c>
      <c r="K113" s="57">
        <v>3</v>
      </c>
    </row>
    <row r="114" spans="2:11" ht="30" customHeight="1" x14ac:dyDescent="0.3">
      <c r="B114" s="55"/>
      <c r="C114" s="56"/>
      <c r="D114" s="56"/>
      <c r="E114" s="56"/>
      <c r="F114" s="7">
        <v>2</v>
      </c>
      <c r="G114" s="6" t="s">
        <v>505</v>
      </c>
      <c r="H114" s="6" t="s">
        <v>506</v>
      </c>
      <c r="I114" s="6" t="s">
        <v>503</v>
      </c>
      <c r="J114" s="6" t="s">
        <v>507</v>
      </c>
      <c r="K114" s="57"/>
    </row>
    <row r="115" spans="2:11" ht="16.5" customHeight="1" x14ac:dyDescent="0.3">
      <c r="B115" s="55"/>
      <c r="C115" s="56"/>
      <c r="D115" s="56"/>
      <c r="E115" s="56"/>
      <c r="F115" s="7">
        <v>3</v>
      </c>
      <c r="G115" s="6" t="s">
        <v>508</v>
      </c>
      <c r="H115" s="6" t="s">
        <v>509</v>
      </c>
      <c r="I115" s="6" t="s">
        <v>503</v>
      </c>
      <c r="J115" s="6" t="s">
        <v>510</v>
      </c>
      <c r="K115" s="57"/>
    </row>
    <row r="116" spans="2:11" ht="30" customHeight="1" x14ac:dyDescent="0.3">
      <c r="B116" s="55" t="s">
        <v>511</v>
      </c>
      <c r="C116" s="58" t="s">
        <v>74</v>
      </c>
      <c r="D116" s="58" t="s">
        <v>512</v>
      </c>
      <c r="E116" s="58" t="s">
        <v>513</v>
      </c>
      <c r="F116" s="9">
        <v>1</v>
      </c>
      <c r="G116" s="8" t="s">
        <v>514</v>
      </c>
      <c r="H116" s="8" t="s">
        <v>515</v>
      </c>
      <c r="I116" s="8" t="s">
        <v>516</v>
      </c>
      <c r="J116" s="8" t="s">
        <v>517</v>
      </c>
      <c r="K116" s="59">
        <v>3</v>
      </c>
    </row>
    <row r="117" spans="2:11" ht="30" customHeight="1" x14ac:dyDescent="0.3">
      <c r="B117" s="55"/>
      <c r="C117" s="58"/>
      <c r="D117" s="58"/>
      <c r="E117" s="58"/>
      <c r="F117" s="9">
        <v>2</v>
      </c>
      <c r="G117" s="8" t="s">
        <v>518</v>
      </c>
      <c r="H117" s="8" t="s">
        <v>519</v>
      </c>
      <c r="I117" s="8" t="s">
        <v>520</v>
      </c>
      <c r="J117" s="8" t="s">
        <v>521</v>
      </c>
      <c r="K117" s="59"/>
    </row>
    <row r="118" spans="2:11" ht="16.5" customHeight="1" x14ac:dyDescent="0.3">
      <c r="B118" s="55"/>
      <c r="C118" s="58"/>
      <c r="D118" s="58"/>
      <c r="E118" s="58"/>
      <c r="F118" s="9">
        <v>3</v>
      </c>
      <c r="G118" s="8" t="s">
        <v>522</v>
      </c>
      <c r="H118" s="8" t="s">
        <v>523</v>
      </c>
      <c r="I118" s="8" t="s">
        <v>524</v>
      </c>
      <c r="J118" s="8" t="s">
        <v>525</v>
      </c>
      <c r="K118" s="59"/>
    </row>
    <row r="119" spans="2:11" ht="30" customHeight="1" x14ac:dyDescent="0.3">
      <c r="B119" s="55" t="s">
        <v>526</v>
      </c>
      <c r="C119" s="56" t="s">
        <v>32</v>
      </c>
      <c r="D119" s="56" t="s">
        <v>527</v>
      </c>
      <c r="E119" s="56" t="s">
        <v>528</v>
      </c>
      <c r="F119" s="7">
        <v>1</v>
      </c>
      <c r="G119" s="6" t="s">
        <v>529</v>
      </c>
      <c r="H119" s="6" t="s">
        <v>530</v>
      </c>
      <c r="I119" s="6" t="s">
        <v>531</v>
      </c>
      <c r="J119" s="6" t="s">
        <v>532</v>
      </c>
      <c r="K119" s="57">
        <v>3</v>
      </c>
    </row>
    <row r="120" spans="2:11" ht="30" customHeight="1" x14ac:dyDescent="0.3">
      <c r="B120" s="55"/>
      <c r="C120" s="56"/>
      <c r="D120" s="56"/>
      <c r="E120" s="56"/>
      <c r="F120" s="7">
        <v>2</v>
      </c>
      <c r="G120" s="6" t="s">
        <v>533</v>
      </c>
      <c r="H120" s="6" t="s">
        <v>534</v>
      </c>
      <c r="I120" s="6" t="s">
        <v>535</v>
      </c>
      <c r="J120" s="6" t="s">
        <v>536</v>
      </c>
      <c r="K120" s="57"/>
    </row>
    <row r="121" spans="2:11" ht="30" customHeight="1" x14ac:dyDescent="0.3">
      <c r="B121" s="55"/>
      <c r="C121" s="56"/>
      <c r="D121" s="56"/>
      <c r="E121" s="56"/>
      <c r="F121" s="7">
        <v>3</v>
      </c>
      <c r="G121" s="6" t="s">
        <v>537</v>
      </c>
      <c r="H121" s="6" t="s">
        <v>538</v>
      </c>
      <c r="I121" s="6" t="s">
        <v>539</v>
      </c>
      <c r="J121" s="6" t="s">
        <v>540</v>
      </c>
      <c r="K121" s="57"/>
    </row>
    <row r="122" spans="2:11" ht="30" customHeight="1" x14ac:dyDescent="0.3">
      <c r="B122" s="55" t="s">
        <v>541</v>
      </c>
      <c r="C122" s="58" t="s">
        <v>32</v>
      </c>
      <c r="D122" s="58" t="s">
        <v>542</v>
      </c>
      <c r="E122" s="58" t="s">
        <v>543</v>
      </c>
      <c r="F122" s="9">
        <v>1</v>
      </c>
      <c r="G122" s="8" t="s">
        <v>544</v>
      </c>
      <c r="H122" s="8" t="s">
        <v>545</v>
      </c>
      <c r="I122" s="8" t="s">
        <v>546</v>
      </c>
      <c r="J122" s="8" t="s">
        <v>547</v>
      </c>
      <c r="K122" s="59">
        <v>3</v>
      </c>
    </row>
    <row r="123" spans="2:11" ht="30" customHeight="1" x14ac:dyDescent="0.3">
      <c r="B123" s="55"/>
      <c r="C123" s="58"/>
      <c r="D123" s="58"/>
      <c r="E123" s="58"/>
      <c r="F123" s="9">
        <v>2</v>
      </c>
      <c r="G123" s="8" t="s">
        <v>548</v>
      </c>
      <c r="H123" s="8" t="s">
        <v>549</v>
      </c>
      <c r="I123" s="8" t="s">
        <v>550</v>
      </c>
      <c r="J123" s="8" t="s">
        <v>551</v>
      </c>
      <c r="K123" s="59"/>
    </row>
    <row r="124" spans="2:11" ht="30" customHeight="1" x14ac:dyDescent="0.3">
      <c r="B124" s="55"/>
      <c r="C124" s="58"/>
      <c r="D124" s="58"/>
      <c r="E124" s="58"/>
      <c r="F124" s="9">
        <v>3</v>
      </c>
      <c r="G124" s="8" t="s">
        <v>552</v>
      </c>
      <c r="H124" s="8" t="s">
        <v>553</v>
      </c>
      <c r="I124" s="8" t="s">
        <v>554</v>
      </c>
      <c r="J124" s="8" t="s">
        <v>555</v>
      </c>
      <c r="K124" s="59"/>
    </row>
    <row r="125" spans="2:11" ht="30" customHeight="1" x14ac:dyDescent="0.3">
      <c r="B125" s="60" t="s">
        <v>556</v>
      </c>
      <c r="C125" s="61" t="s">
        <v>74</v>
      </c>
      <c r="D125" s="61" t="s">
        <v>557</v>
      </c>
      <c r="E125" s="61" t="s">
        <v>558</v>
      </c>
      <c r="F125" s="12">
        <v>1</v>
      </c>
      <c r="G125" s="11" t="s">
        <v>559</v>
      </c>
      <c r="H125" s="11" t="s">
        <v>560</v>
      </c>
      <c r="I125" s="11" t="s">
        <v>454</v>
      </c>
      <c r="J125" s="11" t="s">
        <v>561</v>
      </c>
      <c r="K125" s="62">
        <v>3</v>
      </c>
    </row>
    <row r="126" spans="2:11" ht="16.5" customHeight="1" x14ac:dyDescent="0.3">
      <c r="B126" s="60"/>
      <c r="C126" s="61"/>
      <c r="D126" s="61"/>
      <c r="E126" s="61"/>
      <c r="F126" s="12">
        <v>2</v>
      </c>
      <c r="G126" s="11" t="s">
        <v>562</v>
      </c>
      <c r="H126" s="11" t="s">
        <v>563</v>
      </c>
      <c r="I126" s="11" t="s">
        <v>454</v>
      </c>
      <c r="J126" s="11" t="s">
        <v>564</v>
      </c>
      <c r="K126" s="62"/>
    </row>
    <row r="127" spans="2:11" ht="30" customHeight="1" x14ac:dyDescent="0.3">
      <c r="B127" s="60"/>
      <c r="C127" s="61"/>
      <c r="D127" s="61"/>
      <c r="E127" s="61"/>
      <c r="F127" s="12">
        <v>3</v>
      </c>
      <c r="G127" s="11" t="s">
        <v>565</v>
      </c>
      <c r="H127" s="11" t="s">
        <v>566</v>
      </c>
      <c r="I127" s="11" t="s">
        <v>454</v>
      </c>
      <c r="J127" s="11" t="s">
        <v>567</v>
      </c>
      <c r="K127" s="62"/>
    </row>
    <row r="128" spans="2:11" ht="16.5" customHeight="1" x14ac:dyDescent="0.3">
      <c r="B128" s="60" t="s">
        <v>568</v>
      </c>
      <c r="C128" s="58" t="s">
        <v>32</v>
      </c>
      <c r="D128" s="58" t="s">
        <v>569</v>
      </c>
      <c r="E128" s="58" t="s">
        <v>570</v>
      </c>
      <c r="F128" s="9">
        <v>1</v>
      </c>
      <c r="G128" s="8" t="s">
        <v>571</v>
      </c>
      <c r="H128" s="8" t="s">
        <v>572</v>
      </c>
      <c r="I128" s="8" t="s">
        <v>573</v>
      </c>
      <c r="J128" s="8" t="s">
        <v>574</v>
      </c>
      <c r="K128" s="59">
        <v>3</v>
      </c>
    </row>
    <row r="129" spans="2:11" ht="30" customHeight="1" x14ac:dyDescent="0.3">
      <c r="B129" s="60"/>
      <c r="C129" s="58"/>
      <c r="D129" s="58"/>
      <c r="E129" s="58"/>
      <c r="F129" s="9">
        <v>2</v>
      </c>
      <c r="G129" s="8" t="s">
        <v>575</v>
      </c>
      <c r="H129" s="8" t="s">
        <v>576</v>
      </c>
      <c r="I129" s="8" t="s">
        <v>577</v>
      </c>
      <c r="J129" s="8" t="s">
        <v>578</v>
      </c>
      <c r="K129" s="59"/>
    </row>
    <row r="130" spans="2:11" ht="30" customHeight="1" x14ac:dyDescent="0.3">
      <c r="B130" s="60"/>
      <c r="C130" s="58"/>
      <c r="D130" s="58"/>
      <c r="E130" s="58"/>
      <c r="F130" s="9">
        <v>3</v>
      </c>
      <c r="G130" s="8" t="s">
        <v>579</v>
      </c>
      <c r="H130" s="8" t="s">
        <v>580</v>
      </c>
      <c r="I130" s="8" t="s">
        <v>581</v>
      </c>
      <c r="J130" s="8" t="s">
        <v>582</v>
      </c>
      <c r="K130" s="59"/>
    </row>
    <row r="131" spans="2:11" ht="30" customHeight="1" x14ac:dyDescent="0.3">
      <c r="B131" s="60" t="s">
        <v>583</v>
      </c>
      <c r="C131" s="61" t="s">
        <v>32</v>
      </c>
      <c r="D131" s="61" t="s">
        <v>584</v>
      </c>
      <c r="E131" s="61" t="s">
        <v>585</v>
      </c>
      <c r="F131" s="12">
        <v>1</v>
      </c>
      <c r="G131" s="11" t="s">
        <v>586</v>
      </c>
      <c r="H131" s="11" t="s">
        <v>587</v>
      </c>
      <c r="I131" s="11" t="s">
        <v>588</v>
      </c>
      <c r="J131" s="11" t="s">
        <v>589</v>
      </c>
      <c r="K131" s="62">
        <v>3</v>
      </c>
    </row>
    <row r="132" spans="2:11" ht="30" customHeight="1" x14ac:dyDescent="0.3">
      <c r="B132" s="60"/>
      <c r="C132" s="61"/>
      <c r="D132" s="61"/>
      <c r="E132" s="61"/>
      <c r="F132" s="12">
        <v>2</v>
      </c>
      <c r="G132" s="11" t="s">
        <v>590</v>
      </c>
      <c r="H132" s="11" t="s">
        <v>591</v>
      </c>
      <c r="I132" s="11" t="s">
        <v>592</v>
      </c>
      <c r="J132" s="11" t="s">
        <v>593</v>
      </c>
      <c r="K132" s="62"/>
    </row>
    <row r="133" spans="2:11" ht="30" customHeight="1" x14ac:dyDescent="0.3">
      <c r="B133" s="60"/>
      <c r="C133" s="61"/>
      <c r="D133" s="61"/>
      <c r="E133" s="61"/>
      <c r="F133" s="12">
        <v>3</v>
      </c>
      <c r="G133" s="11" t="s">
        <v>594</v>
      </c>
      <c r="H133" s="11" t="s">
        <v>549</v>
      </c>
      <c r="I133" s="11" t="s">
        <v>588</v>
      </c>
      <c r="J133" s="11" t="s">
        <v>595</v>
      </c>
      <c r="K133" s="62"/>
    </row>
    <row r="134" spans="2:11" ht="30" customHeight="1" x14ac:dyDescent="0.3">
      <c r="B134" s="60" t="s">
        <v>596</v>
      </c>
      <c r="C134" s="58" t="s">
        <v>1623</v>
      </c>
      <c r="D134" s="58" t="s">
        <v>597</v>
      </c>
      <c r="E134" s="58" t="s">
        <v>598</v>
      </c>
      <c r="F134" s="9">
        <v>1</v>
      </c>
      <c r="G134" s="8" t="s">
        <v>599</v>
      </c>
      <c r="H134" s="8" t="s">
        <v>600</v>
      </c>
      <c r="I134" s="8" t="s">
        <v>601</v>
      </c>
      <c r="J134" s="8" t="s">
        <v>602</v>
      </c>
      <c r="K134" s="59">
        <v>3</v>
      </c>
    </row>
    <row r="135" spans="2:11" ht="16.5" customHeight="1" x14ac:dyDescent="0.3">
      <c r="B135" s="60"/>
      <c r="C135" s="58"/>
      <c r="D135" s="58"/>
      <c r="E135" s="58"/>
      <c r="F135" s="9">
        <v>2</v>
      </c>
      <c r="G135" s="8" t="s">
        <v>603</v>
      </c>
      <c r="H135" s="8" t="s">
        <v>604</v>
      </c>
      <c r="I135" s="8" t="s">
        <v>601</v>
      </c>
      <c r="J135" s="8" t="s">
        <v>605</v>
      </c>
      <c r="K135" s="59"/>
    </row>
    <row r="136" spans="2:11" ht="30" customHeight="1" x14ac:dyDescent="0.3">
      <c r="B136" s="60"/>
      <c r="C136" s="58"/>
      <c r="D136" s="58"/>
      <c r="E136" s="58"/>
      <c r="F136" s="9">
        <v>3</v>
      </c>
      <c r="G136" s="8" t="s">
        <v>606</v>
      </c>
      <c r="H136" s="8" t="s">
        <v>607</v>
      </c>
      <c r="I136" s="8" t="s">
        <v>608</v>
      </c>
      <c r="J136" s="8" t="s">
        <v>609</v>
      </c>
      <c r="K136" s="59"/>
    </row>
    <row r="138" spans="2:11" ht="21.75" customHeight="1" x14ac:dyDescent="0.3">
      <c r="B138" s="54" t="s">
        <v>610</v>
      </c>
      <c r="C138" s="54"/>
      <c r="D138" s="54"/>
      <c r="E138" s="54"/>
      <c r="F138" s="54"/>
      <c r="G138" s="54"/>
      <c r="H138" s="54"/>
      <c r="I138" s="54"/>
      <c r="J138" s="54"/>
      <c r="K138" s="54"/>
    </row>
    <row r="139" spans="2:11" ht="30" customHeight="1" x14ac:dyDescent="0.3">
      <c r="B139" s="55" t="s">
        <v>611</v>
      </c>
      <c r="C139" s="56" t="s">
        <v>74</v>
      </c>
      <c r="D139" s="56" t="s">
        <v>612</v>
      </c>
      <c r="E139" s="56" t="s">
        <v>613</v>
      </c>
      <c r="F139" s="7">
        <v>1</v>
      </c>
      <c r="G139" s="6" t="s">
        <v>614</v>
      </c>
      <c r="H139" s="6" t="s">
        <v>615</v>
      </c>
      <c r="I139" s="6" t="s">
        <v>616</v>
      </c>
      <c r="J139" s="6" t="s">
        <v>617</v>
      </c>
      <c r="K139" s="57">
        <v>4</v>
      </c>
    </row>
    <row r="140" spans="2:11" ht="16.5" customHeight="1" x14ac:dyDescent="0.3">
      <c r="B140" s="55"/>
      <c r="C140" s="56"/>
      <c r="D140" s="56"/>
      <c r="E140" s="56"/>
      <c r="F140" s="7">
        <v>2</v>
      </c>
      <c r="G140" s="6" t="s">
        <v>394</v>
      </c>
      <c r="H140" s="6" t="s">
        <v>618</v>
      </c>
      <c r="I140" s="6" t="s">
        <v>392</v>
      </c>
      <c r="J140" s="6" t="s">
        <v>619</v>
      </c>
      <c r="K140" s="57"/>
    </row>
    <row r="141" spans="2:11" ht="16.5" customHeight="1" x14ac:dyDescent="0.3">
      <c r="B141" s="55"/>
      <c r="C141" s="56"/>
      <c r="D141" s="56"/>
      <c r="E141" s="56"/>
      <c r="F141" s="7">
        <v>3</v>
      </c>
      <c r="G141" s="6" t="s">
        <v>620</v>
      </c>
      <c r="H141" s="6" t="s">
        <v>621</v>
      </c>
      <c r="I141" s="6" t="s">
        <v>622</v>
      </c>
      <c r="J141" s="6" t="s">
        <v>623</v>
      </c>
      <c r="K141" s="57"/>
    </row>
    <row r="142" spans="2:11" ht="30" customHeight="1" x14ac:dyDescent="0.3">
      <c r="B142" s="55" t="s">
        <v>624</v>
      </c>
      <c r="C142" s="58" t="s">
        <v>32</v>
      </c>
      <c r="D142" s="58" t="s">
        <v>625</v>
      </c>
      <c r="E142" s="58" t="s">
        <v>626</v>
      </c>
      <c r="F142" s="9">
        <v>1</v>
      </c>
      <c r="G142" s="8" t="s">
        <v>627</v>
      </c>
      <c r="H142" s="8" t="s">
        <v>628</v>
      </c>
      <c r="I142" s="8" t="s">
        <v>629</v>
      </c>
      <c r="J142" s="8" t="s">
        <v>630</v>
      </c>
      <c r="K142" s="59">
        <v>4</v>
      </c>
    </row>
    <row r="143" spans="2:11" ht="16.5" customHeight="1" x14ac:dyDescent="0.3">
      <c r="B143" s="55"/>
      <c r="C143" s="58"/>
      <c r="D143" s="58"/>
      <c r="E143" s="58"/>
      <c r="F143" s="9">
        <v>2</v>
      </c>
      <c r="G143" s="8" t="s">
        <v>631</v>
      </c>
      <c r="H143" s="8" t="s">
        <v>632</v>
      </c>
      <c r="I143" s="8" t="s">
        <v>629</v>
      </c>
      <c r="J143" s="8" t="s">
        <v>633</v>
      </c>
      <c r="K143" s="59"/>
    </row>
    <row r="144" spans="2:11" ht="16.5" customHeight="1" x14ac:dyDescent="0.3">
      <c r="B144" s="55"/>
      <c r="C144" s="58"/>
      <c r="D144" s="58"/>
      <c r="E144" s="58"/>
      <c r="F144" s="9">
        <v>3</v>
      </c>
      <c r="G144" s="8" t="s">
        <v>634</v>
      </c>
      <c r="H144" s="8" t="s">
        <v>635</v>
      </c>
      <c r="I144" s="8" t="s">
        <v>636</v>
      </c>
      <c r="J144" s="8" t="s">
        <v>637</v>
      </c>
      <c r="K144" s="59"/>
    </row>
    <row r="145" spans="2:11" ht="30" customHeight="1" x14ac:dyDescent="0.3">
      <c r="B145" s="55" t="s">
        <v>638</v>
      </c>
      <c r="C145" s="56" t="s">
        <v>32</v>
      </c>
      <c r="D145" s="56" t="s">
        <v>639</v>
      </c>
      <c r="E145" s="56" t="s">
        <v>640</v>
      </c>
      <c r="F145" s="7">
        <v>1</v>
      </c>
      <c r="G145" s="6" t="s">
        <v>641</v>
      </c>
      <c r="H145" s="6" t="s">
        <v>642</v>
      </c>
      <c r="I145" s="6" t="s">
        <v>643</v>
      </c>
      <c r="J145" s="6" t="s">
        <v>644</v>
      </c>
      <c r="K145" s="57">
        <v>4</v>
      </c>
    </row>
    <row r="146" spans="2:11" ht="30" customHeight="1" x14ac:dyDescent="0.3">
      <c r="B146" s="55"/>
      <c r="C146" s="56"/>
      <c r="D146" s="56"/>
      <c r="E146" s="56"/>
      <c r="F146" s="7">
        <v>2</v>
      </c>
      <c r="G146" s="6" t="s">
        <v>645</v>
      </c>
      <c r="H146" s="6" t="s">
        <v>646</v>
      </c>
      <c r="I146" s="6" t="s">
        <v>647</v>
      </c>
      <c r="J146" s="6" t="s">
        <v>648</v>
      </c>
      <c r="K146" s="57"/>
    </row>
    <row r="147" spans="2:11" ht="30" customHeight="1" x14ac:dyDescent="0.3">
      <c r="B147" s="55"/>
      <c r="C147" s="56"/>
      <c r="D147" s="56"/>
      <c r="E147" s="56"/>
      <c r="F147" s="7">
        <v>3</v>
      </c>
      <c r="G147" s="6" t="s">
        <v>649</v>
      </c>
      <c r="H147" s="6" t="s">
        <v>650</v>
      </c>
      <c r="I147" s="6" t="s">
        <v>651</v>
      </c>
      <c r="J147" s="6" t="s">
        <v>652</v>
      </c>
      <c r="K147" s="57"/>
    </row>
    <row r="148" spans="2:11" ht="30" customHeight="1" x14ac:dyDescent="0.3">
      <c r="B148" s="55" t="s">
        <v>653</v>
      </c>
      <c r="C148" s="58" t="s">
        <v>32</v>
      </c>
      <c r="D148" s="58" t="s">
        <v>654</v>
      </c>
      <c r="E148" s="58" t="s">
        <v>655</v>
      </c>
      <c r="F148" s="9">
        <v>1</v>
      </c>
      <c r="G148" s="8" t="s">
        <v>656</v>
      </c>
      <c r="H148" s="8" t="s">
        <v>657</v>
      </c>
      <c r="I148" s="8" t="s">
        <v>658</v>
      </c>
      <c r="J148" s="8" t="s">
        <v>659</v>
      </c>
      <c r="K148" s="59">
        <v>4</v>
      </c>
    </row>
    <row r="149" spans="2:11" ht="30" customHeight="1" x14ac:dyDescent="0.3">
      <c r="B149" s="55"/>
      <c r="C149" s="58"/>
      <c r="D149" s="58"/>
      <c r="E149" s="58"/>
      <c r="F149" s="9">
        <v>2</v>
      </c>
      <c r="G149" s="8" t="s">
        <v>660</v>
      </c>
      <c r="H149" s="8" t="s">
        <v>661</v>
      </c>
      <c r="I149" s="8" t="s">
        <v>662</v>
      </c>
      <c r="J149" s="8" t="s">
        <v>663</v>
      </c>
      <c r="K149" s="59"/>
    </row>
    <row r="150" spans="2:11" ht="16.5" customHeight="1" x14ac:dyDescent="0.3">
      <c r="B150" s="55"/>
      <c r="C150" s="58"/>
      <c r="D150" s="58"/>
      <c r="E150" s="58"/>
      <c r="F150" s="9">
        <v>3</v>
      </c>
      <c r="G150" s="8" t="s">
        <v>664</v>
      </c>
      <c r="H150" s="8" t="s">
        <v>665</v>
      </c>
      <c r="I150" s="8" t="s">
        <v>666</v>
      </c>
      <c r="J150" s="8" t="s">
        <v>667</v>
      </c>
      <c r="K150" s="59"/>
    </row>
    <row r="151" spans="2:11" ht="30" customHeight="1" x14ac:dyDescent="0.3">
      <c r="B151" s="60" t="s">
        <v>668</v>
      </c>
      <c r="C151" s="61" t="s">
        <v>74</v>
      </c>
      <c r="D151" s="61" t="s">
        <v>669</v>
      </c>
      <c r="E151" s="61" t="s">
        <v>670</v>
      </c>
      <c r="F151" s="12">
        <v>1</v>
      </c>
      <c r="G151" s="11" t="s">
        <v>671</v>
      </c>
      <c r="H151" s="11" t="s">
        <v>672</v>
      </c>
      <c r="I151" s="11" t="s">
        <v>608</v>
      </c>
      <c r="J151" s="11" t="s">
        <v>673</v>
      </c>
      <c r="K151" s="62">
        <v>4</v>
      </c>
    </row>
    <row r="152" spans="2:11" ht="30" customHeight="1" x14ac:dyDescent="0.3">
      <c r="B152" s="60"/>
      <c r="C152" s="61"/>
      <c r="D152" s="61"/>
      <c r="E152" s="61"/>
      <c r="F152" s="12">
        <v>2</v>
      </c>
      <c r="G152" s="11" t="s">
        <v>674</v>
      </c>
      <c r="H152" s="11" t="s">
        <v>675</v>
      </c>
      <c r="I152" s="11" t="s">
        <v>608</v>
      </c>
      <c r="J152" s="11" t="s">
        <v>676</v>
      </c>
      <c r="K152" s="62"/>
    </row>
    <row r="153" spans="2:11" ht="30" customHeight="1" x14ac:dyDescent="0.3">
      <c r="B153" s="60"/>
      <c r="C153" s="61"/>
      <c r="D153" s="61"/>
      <c r="E153" s="61"/>
      <c r="F153" s="12">
        <v>3</v>
      </c>
      <c r="G153" s="11" t="s">
        <v>677</v>
      </c>
      <c r="H153" s="11" t="s">
        <v>678</v>
      </c>
      <c r="I153" s="11" t="s">
        <v>608</v>
      </c>
      <c r="J153" s="11" t="s">
        <v>679</v>
      </c>
      <c r="K153" s="62"/>
    </row>
    <row r="154" spans="2:11" ht="30" customHeight="1" x14ac:dyDescent="0.3">
      <c r="B154" s="60" t="s">
        <v>680</v>
      </c>
      <c r="C154" s="58" t="s">
        <v>32</v>
      </c>
      <c r="D154" s="58" t="s">
        <v>681</v>
      </c>
      <c r="E154" s="58" t="s">
        <v>682</v>
      </c>
      <c r="F154" s="9">
        <v>1</v>
      </c>
      <c r="G154" s="8" t="s">
        <v>683</v>
      </c>
      <c r="H154" s="8" t="s">
        <v>642</v>
      </c>
      <c r="I154" s="8" t="s">
        <v>684</v>
      </c>
      <c r="J154" s="8" t="s">
        <v>685</v>
      </c>
      <c r="K154" s="59">
        <v>4</v>
      </c>
    </row>
    <row r="155" spans="2:11" ht="30" customHeight="1" x14ac:dyDescent="0.3">
      <c r="B155" s="60"/>
      <c r="C155" s="58"/>
      <c r="D155" s="58"/>
      <c r="E155" s="58"/>
      <c r="F155" s="9">
        <v>2</v>
      </c>
      <c r="G155" s="8" t="s">
        <v>686</v>
      </c>
      <c r="H155" s="8" t="s">
        <v>687</v>
      </c>
      <c r="I155" s="8" t="s">
        <v>608</v>
      </c>
      <c r="J155" s="8" t="s">
        <v>688</v>
      </c>
      <c r="K155" s="59"/>
    </row>
    <row r="156" spans="2:11" ht="16.5" customHeight="1" x14ac:dyDescent="0.3">
      <c r="B156" s="60"/>
      <c r="C156" s="58"/>
      <c r="D156" s="58"/>
      <c r="E156" s="58"/>
      <c r="F156" s="9">
        <v>3</v>
      </c>
      <c r="G156" s="8" t="s">
        <v>466</v>
      </c>
      <c r="H156" s="8" t="s">
        <v>689</v>
      </c>
      <c r="I156" s="8" t="s">
        <v>690</v>
      </c>
      <c r="J156" s="8" t="s">
        <v>691</v>
      </c>
      <c r="K156" s="59"/>
    </row>
    <row r="157" spans="2:11" ht="16.5" customHeight="1" x14ac:dyDescent="0.3">
      <c r="B157" s="60" t="s">
        <v>692</v>
      </c>
      <c r="C157" s="61" t="s">
        <v>32</v>
      </c>
      <c r="D157" s="61" t="s">
        <v>693</v>
      </c>
      <c r="E157" s="61" t="s">
        <v>694</v>
      </c>
      <c r="F157" s="12">
        <v>1</v>
      </c>
      <c r="G157" s="11" t="s">
        <v>695</v>
      </c>
      <c r="H157" s="11" t="s">
        <v>696</v>
      </c>
      <c r="I157" s="11" t="s">
        <v>697</v>
      </c>
      <c r="J157" s="11" t="s">
        <v>698</v>
      </c>
      <c r="K157" s="62">
        <v>4</v>
      </c>
    </row>
    <row r="158" spans="2:11" ht="30" customHeight="1" x14ac:dyDescent="0.3">
      <c r="B158" s="60"/>
      <c r="C158" s="61"/>
      <c r="D158" s="61"/>
      <c r="E158" s="61"/>
      <c r="F158" s="12">
        <v>2</v>
      </c>
      <c r="G158" s="11" t="s">
        <v>699</v>
      </c>
      <c r="H158" s="11" t="s">
        <v>700</v>
      </c>
      <c r="I158" s="11" t="s">
        <v>697</v>
      </c>
      <c r="J158" s="11" t="s">
        <v>701</v>
      </c>
      <c r="K158" s="62"/>
    </row>
    <row r="159" spans="2:11" ht="30" customHeight="1" x14ac:dyDescent="0.3">
      <c r="B159" s="60"/>
      <c r="C159" s="61"/>
      <c r="D159" s="61"/>
      <c r="E159" s="61"/>
      <c r="F159" s="12">
        <v>3</v>
      </c>
      <c r="G159" s="11" t="s">
        <v>702</v>
      </c>
      <c r="H159" s="11" t="s">
        <v>703</v>
      </c>
      <c r="I159" s="11" t="s">
        <v>622</v>
      </c>
      <c r="J159" s="11" t="s">
        <v>704</v>
      </c>
      <c r="K159" s="62"/>
    </row>
    <row r="160" spans="2:11" ht="30" customHeight="1" x14ac:dyDescent="0.3">
      <c r="B160" s="60" t="s">
        <v>705</v>
      </c>
      <c r="C160" s="58" t="s">
        <v>1623</v>
      </c>
      <c r="D160" s="58" t="s">
        <v>706</v>
      </c>
      <c r="E160" s="58" t="s">
        <v>707</v>
      </c>
      <c r="F160" s="9">
        <v>1</v>
      </c>
      <c r="G160" s="8" t="s">
        <v>614</v>
      </c>
      <c r="H160" s="8" t="s">
        <v>708</v>
      </c>
      <c r="I160" s="8" t="s">
        <v>601</v>
      </c>
      <c r="J160" s="8" t="s">
        <v>602</v>
      </c>
      <c r="K160" s="59">
        <v>4</v>
      </c>
    </row>
    <row r="161" spans="2:11" ht="30" customHeight="1" x14ac:dyDescent="0.3">
      <c r="B161" s="60"/>
      <c r="C161" s="58"/>
      <c r="D161" s="58"/>
      <c r="E161" s="58"/>
      <c r="F161" s="9">
        <v>2</v>
      </c>
      <c r="G161" s="8" t="s">
        <v>606</v>
      </c>
      <c r="H161" s="8" t="s">
        <v>709</v>
      </c>
      <c r="I161" s="8" t="s">
        <v>608</v>
      </c>
      <c r="J161" s="8" t="s">
        <v>710</v>
      </c>
      <c r="K161" s="59"/>
    </row>
    <row r="162" spans="2:11" ht="16.5" customHeight="1" x14ac:dyDescent="0.3">
      <c r="B162" s="60"/>
      <c r="C162" s="58"/>
      <c r="D162" s="58"/>
      <c r="E162" s="58"/>
      <c r="F162" s="9">
        <v>3</v>
      </c>
      <c r="G162" s="8" t="s">
        <v>711</v>
      </c>
      <c r="H162" s="8" t="s">
        <v>712</v>
      </c>
      <c r="I162" s="8" t="s">
        <v>713</v>
      </c>
      <c r="J162" s="8" t="s">
        <v>714</v>
      </c>
      <c r="K162" s="59"/>
    </row>
    <row r="164" spans="2:11" ht="21.75" customHeight="1" x14ac:dyDescent="0.3">
      <c r="B164" s="54" t="s">
        <v>715</v>
      </c>
      <c r="C164" s="54"/>
      <c r="D164" s="54"/>
      <c r="E164" s="54"/>
      <c r="F164" s="54"/>
      <c r="G164" s="54"/>
      <c r="H164" s="54"/>
      <c r="I164" s="54"/>
      <c r="J164" s="54"/>
      <c r="K164" s="54"/>
    </row>
    <row r="165" spans="2:11" ht="30" customHeight="1" x14ac:dyDescent="0.3">
      <c r="B165" s="55" t="s">
        <v>716</v>
      </c>
      <c r="C165" s="56" t="s">
        <v>1623</v>
      </c>
      <c r="D165" s="56" t="s">
        <v>717</v>
      </c>
      <c r="E165" s="56" t="s">
        <v>718</v>
      </c>
      <c r="F165" s="7">
        <v>1</v>
      </c>
      <c r="G165" s="6" t="s">
        <v>719</v>
      </c>
      <c r="H165" s="6" t="s">
        <v>720</v>
      </c>
      <c r="I165" s="6" t="s">
        <v>721</v>
      </c>
      <c r="J165" s="6" t="s">
        <v>722</v>
      </c>
      <c r="K165" s="57">
        <v>5</v>
      </c>
    </row>
    <row r="166" spans="2:11" ht="16.5" customHeight="1" x14ac:dyDescent="0.3">
      <c r="B166" s="55"/>
      <c r="C166" s="56"/>
      <c r="D166" s="56"/>
      <c r="E166" s="56"/>
      <c r="F166" s="7">
        <v>2</v>
      </c>
      <c r="G166" s="6" t="s">
        <v>723</v>
      </c>
      <c r="H166" s="6" t="s">
        <v>724</v>
      </c>
      <c r="I166" s="6" t="s">
        <v>721</v>
      </c>
      <c r="J166" s="6" t="s">
        <v>725</v>
      </c>
      <c r="K166" s="57"/>
    </row>
    <row r="167" spans="2:11" ht="30" customHeight="1" x14ac:dyDescent="0.3">
      <c r="B167" s="55"/>
      <c r="C167" s="56"/>
      <c r="D167" s="56"/>
      <c r="E167" s="56"/>
      <c r="F167" s="7">
        <v>3</v>
      </c>
      <c r="G167" s="6" t="s">
        <v>726</v>
      </c>
      <c r="H167" s="6" t="s">
        <v>727</v>
      </c>
      <c r="I167" s="6" t="s">
        <v>728</v>
      </c>
      <c r="J167" s="6" t="s">
        <v>729</v>
      </c>
      <c r="K167" s="57"/>
    </row>
    <row r="168" spans="2:11" ht="30" customHeight="1" x14ac:dyDescent="0.3">
      <c r="B168" s="55" t="s">
        <v>730</v>
      </c>
      <c r="C168" s="58" t="s">
        <v>32</v>
      </c>
      <c r="D168" s="58" t="s">
        <v>731</v>
      </c>
      <c r="E168" s="58" t="s">
        <v>732</v>
      </c>
      <c r="F168" s="9">
        <v>1</v>
      </c>
      <c r="G168" s="8" t="s">
        <v>733</v>
      </c>
      <c r="H168" s="8" t="s">
        <v>734</v>
      </c>
      <c r="I168" s="8" t="s">
        <v>735</v>
      </c>
      <c r="J168" s="8" t="s">
        <v>736</v>
      </c>
      <c r="K168" s="59">
        <v>5</v>
      </c>
    </row>
    <row r="169" spans="2:11" ht="16.5" customHeight="1" x14ac:dyDescent="0.3">
      <c r="B169" s="55"/>
      <c r="C169" s="58"/>
      <c r="D169" s="58"/>
      <c r="E169" s="58"/>
      <c r="F169" s="9">
        <v>2</v>
      </c>
      <c r="G169" s="8" t="s">
        <v>737</v>
      </c>
      <c r="H169" s="8" t="s">
        <v>738</v>
      </c>
      <c r="I169" s="8" t="s">
        <v>735</v>
      </c>
      <c r="J169" s="8" t="s">
        <v>739</v>
      </c>
      <c r="K169" s="59"/>
    </row>
    <row r="170" spans="2:11" ht="30" customHeight="1" x14ac:dyDescent="0.3">
      <c r="B170" s="55"/>
      <c r="C170" s="58"/>
      <c r="D170" s="58"/>
      <c r="E170" s="58"/>
      <c r="F170" s="9">
        <v>3</v>
      </c>
      <c r="G170" s="8" t="s">
        <v>740</v>
      </c>
      <c r="H170" s="8" t="s">
        <v>741</v>
      </c>
      <c r="I170" s="8" t="s">
        <v>735</v>
      </c>
      <c r="J170" s="8" t="s">
        <v>742</v>
      </c>
      <c r="K170" s="59"/>
    </row>
    <row r="171" spans="2:11" ht="30" customHeight="1" x14ac:dyDescent="0.3">
      <c r="B171" s="55" t="s">
        <v>743</v>
      </c>
      <c r="C171" s="56" t="s">
        <v>32</v>
      </c>
      <c r="D171" s="56" t="s">
        <v>744</v>
      </c>
      <c r="E171" s="56" t="s">
        <v>745</v>
      </c>
      <c r="F171" s="7">
        <v>1</v>
      </c>
      <c r="G171" s="6" t="s">
        <v>746</v>
      </c>
      <c r="H171" s="6" t="s">
        <v>747</v>
      </c>
      <c r="I171" s="6" t="s">
        <v>748</v>
      </c>
      <c r="J171" s="6" t="s">
        <v>749</v>
      </c>
      <c r="K171" s="57">
        <v>5</v>
      </c>
    </row>
    <row r="172" spans="2:11" ht="30" customHeight="1" x14ac:dyDescent="0.3">
      <c r="B172" s="55"/>
      <c r="C172" s="56"/>
      <c r="D172" s="56"/>
      <c r="E172" s="56"/>
      <c r="F172" s="7">
        <v>2</v>
      </c>
      <c r="G172" s="6" t="s">
        <v>750</v>
      </c>
      <c r="H172" s="6" t="s">
        <v>751</v>
      </c>
      <c r="I172" s="6" t="s">
        <v>748</v>
      </c>
      <c r="J172" s="6" t="s">
        <v>752</v>
      </c>
      <c r="K172" s="57"/>
    </row>
    <row r="173" spans="2:11" ht="30" customHeight="1" x14ac:dyDescent="0.3">
      <c r="B173" s="55"/>
      <c r="C173" s="56"/>
      <c r="D173" s="56"/>
      <c r="E173" s="56"/>
      <c r="F173" s="7">
        <v>3</v>
      </c>
      <c r="G173" s="6" t="s">
        <v>753</v>
      </c>
      <c r="H173" s="6" t="s">
        <v>754</v>
      </c>
      <c r="I173" s="6" t="s">
        <v>755</v>
      </c>
      <c r="J173" s="6" t="s">
        <v>756</v>
      </c>
      <c r="K173" s="57"/>
    </row>
    <row r="174" spans="2:11" ht="30" customHeight="1" x14ac:dyDescent="0.3">
      <c r="B174" s="55" t="s">
        <v>757</v>
      </c>
      <c r="C174" s="58" t="s">
        <v>32</v>
      </c>
      <c r="D174" s="58" t="s">
        <v>758</v>
      </c>
      <c r="E174" s="58" t="s">
        <v>759</v>
      </c>
      <c r="F174" s="9">
        <v>1</v>
      </c>
      <c r="G174" s="8" t="s">
        <v>760</v>
      </c>
      <c r="H174" s="8" t="s">
        <v>761</v>
      </c>
      <c r="I174" s="8" t="s">
        <v>762</v>
      </c>
      <c r="J174" s="8" t="s">
        <v>763</v>
      </c>
      <c r="K174" s="59">
        <v>5</v>
      </c>
    </row>
    <row r="175" spans="2:11" ht="30" customHeight="1" x14ac:dyDescent="0.3">
      <c r="B175" s="55"/>
      <c r="C175" s="58"/>
      <c r="D175" s="58"/>
      <c r="E175" s="58"/>
      <c r="F175" s="9">
        <v>2</v>
      </c>
      <c r="G175" s="8" t="s">
        <v>764</v>
      </c>
      <c r="H175" s="8" t="s">
        <v>765</v>
      </c>
      <c r="I175" s="8" t="s">
        <v>766</v>
      </c>
      <c r="J175" s="8" t="s">
        <v>767</v>
      </c>
      <c r="K175" s="59"/>
    </row>
    <row r="176" spans="2:11" ht="16.5" customHeight="1" x14ac:dyDescent="0.3">
      <c r="B176" s="55"/>
      <c r="C176" s="58"/>
      <c r="D176" s="58"/>
      <c r="E176" s="58"/>
      <c r="F176" s="9">
        <v>3</v>
      </c>
      <c r="G176" s="8" t="s">
        <v>768</v>
      </c>
      <c r="H176" s="8" t="s">
        <v>769</v>
      </c>
      <c r="I176" s="8" t="s">
        <v>435</v>
      </c>
      <c r="J176" s="8" t="s">
        <v>770</v>
      </c>
      <c r="K176" s="59"/>
    </row>
    <row r="177" spans="2:11" ht="30" customHeight="1" x14ac:dyDescent="0.3">
      <c r="B177" s="60" t="s">
        <v>771</v>
      </c>
      <c r="C177" s="61" t="s">
        <v>1623</v>
      </c>
      <c r="D177" s="61" t="s">
        <v>772</v>
      </c>
      <c r="E177" s="61" t="s">
        <v>773</v>
      </c>
      <c r="F177" s="12">
        <v>1</v>
      </c>
      <c r="G177" s="11" t="s">
        <v>774</v>
      </c>
      <c r="H177" s="11" t="s">
        <v>775</v>
      </c>
      <c r="I177" s="11" t="s">
        <v>608</v>
      </c>
      <c r="J177" s="11" t="s">
        <v>776</v>
      </c>
      <c r="K177" s="62">
        <v>5</v>
      </c>
    </row>
    <row r="178" spans="2:11" ht="30" customHeight="1" x14ac:dyDescent="0.3">
      <c r="B178" s="60"/>
      <c r="C178" s="61"/>
      <c r="D178" s="61"/>
      <c r="E178" s="61"/>
      <c r="F178" s="12">
        <v>2</v>
      </c>
      <c r="G178" s="11" t="s">
        <v>777</v>
      </c>
      <c r="H178" s="11" t="s">
        <v>778</v>
      </c>
      <c r="I178" s="11" t="s">
        <v>779</v>
      </c>
      <c r="J178" s="11" t="s">
        <v>780</v>
      </c>
      <c r="K178" s="62"/>
    </row>
    <row r="179" spans="2:11" ht="16.5" customHeight="1" x14ac:dyDescent="0.3">
      <c r="B179" s="60"/>
      <c r="C179" s="61"/>
      <c r="D179" s="61"/>
      <c r="E179" s="61"/>
      <c r="F179" s="12">
        <v>3</v>
      </c>
      <c r="G179" s="11" t="s">
        <v>781</v>
      </c>
      <c r="H179" s="11" t="s">
        <v>782</v>
      </c>
      <c r="I179" s="11" t="s">
        <v>608</v>
      </c>
      <c r="J179" s="11" t="s">
        <v>679</v>
      </c>
      <c r="K179" s="62"/>
    </row>
    <row r="180" spans="2:11" ht="30" customHeight="1" x14ac:dyDescent="0.3">
      <c r="B180" s="60" t="s">
        <v>783</v>
      </c>
      <c r="C180" s="58" t="s">
        <v>32</v>
      </c>
      <c r="D180" s="58" t="s">
        <v>784</v>
      </c>
      <c r="E180" s="58" t="s">
        <v>785</v>
      </c>
      <c r="F180" s="9">
        <v>1</v>
      </c>
      <c r="G180" s="8" t="s">
        <v>786</v>
      </c>
      <c r="H180" s="8" t="s">
        <v>787</v>
      </c>
      <c r="I180" s="8" t="s">
        <v>608</v>
      </c>
      <c r="J180" s="8" t="s">
        <v>788</v>
      </c>
      <c r="K180" s="59">
        <v>5</v>
      </c>
    </row>
    <row r="181" spans="2:11" ht="30" customHeight="1" x14ac:dyDescent="0.3">
      <c r="B181" s="60"/>
      <c r="C181" s="58"/>
      <c r="D181" s="58"/>
      <c r="E181" s="58"/>
      <c r="F181" s="9">
        <v>2</v>
      </c>
      <c r="G181" s="8" t="s">
        <v>789</v>
      </c>
      <c r="H181" s="8" t="s">
        <v>790</v>
      </c>
      <c r="I181" s="8" t="s">
        <v>608</v>
      </c>
      <c r="J181" s="8" t="s">
        <v>791</v>
      </c>
      <c r="K181" s="59"/>
    </row>
    <row r="182" spans="2:11" ht="30" customHeight="1" x14ac:dyDescent="0.3">
      <c r="B182" s="60"/>
      <c r="C182" s="58"/>
      <c r="D182" s="58"/>
      <c r="E182" s="58"/>
      <c r="F182" s="9">
        <v>3</v>
      </c>
      <c r="G182" s="8" t="s">
        <v>792</v>
      </c>
      <c r="H182" s="8" t="s">
        <v>793</v>
      </c>
      <c r="I182" s="8" t="s">
        <v>608</v>
      </c>
      <c r="J182" s="8" t="s">
        <v>794</v>
      </c>
      <c r="K182" s="59"/>
    </row>
    <row r="183" spans="2:11" ht="30" customHeight="1" x14ac:dyDescent="0.3">
      <c r="B183" s="60" t="s">
        <v>795</v>
      </c>
      <c r="C183" s="61" t="s">
        <v>32</v>
      </c>
      <c r="D183" s="61" t="s">
        <v>796</v>
      </c>
      <c r="E183" s="61" t="s">
        <v>797</v>
      </c>
      <c r="F183" s="12">
        <v>1</v>
      </c>
      <c r="G183" s="11" t="s">
        <v>798</v>
      </c>
      <c r="H183" s="11" t="s">
        <v>799</v>
      </c>
      <c r="I183" s="11" t="s">
        <v>608</v>
      </c>
      <c r="J183" s="11" t="s">
        <v>800</v>
      </c>
      <c r="K183" s="62">
        <v>5</v>
      </c>
    </row>
    <row r="184" spans="2:11" ht="30" customHeight="1" x14ac:dyDescent="0.3">
      <c r="B184" s="60"/>
      <c r="C184" s="61"/>
      <c r="D184" s="61"/>
      <c r="E184" s="61"/>
      <c r="F184" s="12">
        <v>2</v>
      </c>
      <c r="G184" s="11" t="s">
        <v>801</v>
      </c>
      <c r="H184" s="11" t="s">
        <v>802</v>
      </c>
      <c r="I184" s="11" t="s">
        <v>608</v>
      </c>
      <c r="J184" s="11" t="s">
        <v>803</v>
      </c>
      <c r="K184" s="62"/>
    </row>
    <row r="185" spans="2:11" ht="30" customHeight="1" x14ac:dyDescent="0.3">
      <c r="B185" s="60"/>
      <c r="C185" s="61"/>
      <c r="D185" s="61"/>
      <c r="E185" s="61"/>
      <c r="F185" s="12">
        <v>3</v>
      </c>
      <c r="G185" s="11" t="s">
        <v>804</v>
      </c>
      <c r="H185" s="11" t="s">
        <v>805</v>
      </c>
      <c r="I185" s="11" t="s">
        <v>608</v>
      </c>
      <c r="J185" s="11" t="s">
        <v>806</v>
      </c>
      <c r="K185" s="62"/>
    </row>
    <row r="186" spans="2:11" ht="30" customHeight="1" x14ac:dyDescent="0.3">
      <c r="B186" s="60" t="s">
        <v>807</v>
      </c>
      <c r="C186" s="58" t="s">
        <v>1623</v>
      </c>
      <c r="D186" s="58" t="s">
        <v>808</v>
      </c>
      <c r="E186" s="58" t="s">
        <v>809</v>
      </c>
      <c r="F186" s="9">
        <v>1</v>
      </c>
      <c r="G186" s="8" t="s">
        <v>614</v>
      </c>
      <c r="H186" s="8" t="s">
        <v>810</v>
      </c>
      <c r="I186" s="8" t="s">
        <v>608</v>
      </c>
      <c r="J186" s="8" t="s">
        <v>811</v>
      </c>
      <c r="K186" s="59">
        <v>5</v>
      </c>
    </row>
    <row r="187" spans="2:11" ht="16.5" customHeight="1" x14ac:dyDescent="0.3">
      <c r="B187" s="60"/>
      <c r="C187" s="58"/>
      <c r="D187" s="58"/>
      <c r="E187" s="58"/>
      <c r="F187" s="9">
        <v>2</v>
      </c>
      <c r="G187" s="8" t="s">
        <v>606</v>
      </c>
      <c r="H187" s="8" t="s">
        <v>812</v>
      </c>
      <c r="I187" s="8" t="s">
        <v>608</v>
      </c>
      <c r="J187" s="8" t="s">
        <v>813</v>
      </c>
      <c r="K187" s="59"/>
    </row>
    <row r="188" spans="2:11" ht="30" customHeight="1" x14ac:dyDescent="0.3">
      <c r="B188" s="60"/>
      <c r="C188" s="58"/>
      <c r="D188" s="58"/>
      <c r="E188" s="58"/>
      <c r="F188" s="9">
        <v>3</v>
      </c>
      <c r="G188" s="8" t="s">
        <v>341</v>
      </c>
      <c r="H188" s="8" t="s">
        <v>814</v>
      </c>
      <c r="I188" s="8" t="s">
        <v>622</v>
      </c>
      <c r="J188" s="8" t="s">
        <v>815</v>
      </c>
      <c r="K188" s="59"/>
    </row>
    <row r="190" spans="2:11" ht="21.75" customHeight="1" x14ac:dyDescent="0.3">
      <c r="B190" s="54" t="s">
        <v>816</v>
      </c>
      <c r="C190" s="54"/>
      <c r="D190" s="54"/>
      <c r="E190" s="54"/>
      <c r="F190" s="54"/>
      <c r="G190" s="54"/>
      <c r="H190" s="54"/>
      <c r="I190" s="54"/>
      <c r="J190" s="54"/>
      <c r="K190" s="54"/>
    </row>
    <row r="191" spans="2:11" ht="30" customHeight="1" x14ac:dyDescent="0.3">
      <c r="B191" s="55" t="s">
        <v>817</v>
      </c>
      <c r="C191" s="56" t="s">
        <v>32</v>
      </c>
      <c r="D191" s="56" t="s">
        <v>818</v>
      </c>
      <c r="E191" s="56" t="s">
        <v>819</v>
      </c>
      <c r="F191" s="7">
        <v>1</v>
      </c>
      <c r="G191" s="6" t="s">
        <v>820</v>
      </c>
      <c r="H191" s="6" t="s">
        <v>821</v>
      </c>
      <c r="I191" s="6" t="s">
        <v>822</v>
      </c>
      <c r="J191" s="6" t="s">
        <v>823</v>
      </c>
      <c r="K191" s="57">
        <v>6</v>
      </c>
    </row>
    <row r="192" spans="2:11" ht="30" customHeight="1" x14ac:dyDescent="0.3">
      <c r="B192" s="55"/>
      <c r="C192" s="56"/>
      <c r="D192" s="56"/>
      <c r="E192" s="56"/>
      <c r="F192" s="7">
        <v>2</v>
      </c>
      <c r="G192" s="6" t="s">
        <v>824</v>
      </c>
      <c r="H192" s="6" t="s">
        <v>825</v>
      </c>
      <c r="I192" s="6" t="s">
        <v>826</v>
      </c>
      <c r="J192" s="6" t="s">
        <v>827</v>
      </c>
      <c r="K192" s="57"/>
    </row>
    <row r="193" spans="2:11" ht="30" customHeight="1" x14ac:dyDescent="0.3">
      <c r="B193" s="55"/>
      <c r="C193" s="56"/>
      <c r="D193" s="56"/>
      <c r="E193" s="56"/>
      <c r="F193" s="7">
        <v>3</v>
      </c>
      <c r="G193" s="6" t="s">
        <v>54</v>
      </c>
      <c r="H193" s="6" t="s">
        <v>828</v>
      </c>
      <c r="I193" s="6" t="s">
        <v>826</v>
      </c>
      <c r="J193" s="6" t="s">
        <v>829</v>
      </c>
      <c r="K193" s="57"/>
    </row>
    <row r="194" spans="2:11" ht="30" customHeight="1" x14ac:dyDescent="0.3">
      <c r="B194" s="55" t="s">
        <v>830</v>
      </c>
      <c r="C194" s="58" t="s">
        <v>32</v>
      </c>
      <c r="D194" s="58" t="s">
        <v>831</v>
      </c>
      <c r="E194" s="58" t="s">
        <v>832</v>
      </c>
      <c r="F194" s="9">
        <v>1</v>
      </c>
      <c r="G194" s="8" t="s">
        <v>833</v>
      </c>
      <c r="H194" s="8" t="s">
        <v>665</v>
      </c>
      <c r="I194" s="8" t="s">
        <v>834</v>
      </c>
      <c r="J194" s="8" t="s">
        <v>835</v>
      </c>
      <c r="K194" s="59">
        <v>6</v>
      </c>
    </row>
    <row r="195" spans="2:11" ht="16.5" customHeight="1" x14ac:dyDescent="0.3">
      <c r="B195" s="55"/>
      <c r="C195" s="58"/>
      <c r="D195" s="58"/>
      <c r="E195" s="58"/>
      <c r="F195" s="9">
        <v>2</v>
      </c>
      <c r="G195" s="8" t="s">
        <v>836</v>
      </c>
      <c r="H195" s="8" t="s">
        <v>837</v>
      </c>
      <c r="I195" s="8" t="s">
        <v>838</v>
      </c>
      <c r="J195" s="8" t="s">
        <v>839</v>
      </c>
      <c r="K195" s="59"/>
    </row>
    <row r="196" spans="2:11" ht="16.5" customHeight="1" x14ac:dyDescent="0.3">
      <c r="B196" s="55"/>
      <c r="C196" s="58"/>
      <c r="D196" s="58"/>
      <c r="E196" s="58"/>
      <c r="F196" s="9">
        <v>3</v>
      </c>
      <c r="G196" s="8" t="s">
        <v>840</v>
      </c>
      <c r="H196" s="8" t="s">
        <v>841</v>
      </c>
      <c r="I196" s="8" t="s">
        <v>842</v>
      </c>
      <c r="J196" s="8" t="s">
        <v>843</v>
      </c>
      <c r="K196" s="59"/>
    </row>
    <row r="197" spans="2:11" ht="30" customHeight="1" x14ac:dyDescent="0.3">
      <c r="B197" s="55" t="s">
        <v>844</v>
      </c>
      <c r="C197" s="56" t="s">
        <v>32</v>
      </c>
      <c r="D197" s="56" t="s">
        <v>845</v>
      </c>
      <c r="E197" s="56" t="s">
        <v>846</v>
      </c>
      <c r="F197" s="7">
        <v>1</v>
      </c>
      <c r="G197" s="6" t="s">
        <v>847</v>
      </c>
      <c r="H197" s="6" t="s">
        <v>848</v>
      </c>
      <c r="I197" s="6" t="s">
        <v>849</v>
      </c>
      <c r="J197" s="6" t="s">
        <v>850</v>
      </c>
      <c r="K197" s="57">
        <v>6</v>
      </c>
    </row>
    <row r="198" spans="2:11" ht="30" customHeight="1" x14ac:dyDescent="0.3">
      <c r="B198" s="55"/>
      <c r="C198" s="56"/>
      <c r="D198" s="56"/>
      <c r="E198" s="56"/>
      <c r="F198" s="7">
        <v>2</v>
      </c>
      <c r="G198" s="6" t="s">
        <v>851</v>
      </c>
      <c r="H198" s="6" t="s">
        <v>852</v>
      </c>
      <c r="I198" s="6" t="s">
        <v>853</v>
      </c>
      <c r="J198" s="6" t="s">
        <v>854</v>
      </c>
      <c r="K198" s="57"/>
    </row>
    <row r="199" spans="2:11" ht="16.5" customHeight="1" x14ac:dyDescent="0.3">
      <c r="B199" s="55"/>
      <c r="C199" s="56"/>
      <c r="D199" s="56"/>
      <c r="E199" s="56"/>
      <c r="F199" s="7">
        <v>3</v>
      </c>
      <c r="G199" s="6" t="s">
        <v>855</v>
      </c>
      <c r="H199" s="6" t="s">
        <v>856</v>
      </c>
      <c r="I199" s="6" t="s">
        <v>853</v>
      </c>
      <c r="J199" s="6" t="s">
        <v>857</v>
      </c>
      <c r="K199" s="57"/>
    </row>
    <row r="200" spans="2:11" ht="30" customHeight="1" x14ac:dyDescent="0.3">
      <c r="B200" s="55" t="s">
        <v>858</v>
      </c>
      <c r="C200" s="58" t="s">
        <v>32</v>
      </c>
      <c r="D200" s="58" t="s">
        <v>859</v>
      </c>
      <c r="E200" s="58" t="s">
        <v>860</v>
      </c>
      <c r="F200" s="9">
        <v>1</v>
      </c>
      <c r="G200" s="8" t="s">
        <v>861</v>
      </c>
      <c r="H200" s="8" t="s">
        <v>862</v>
      </c>
      <c r="I200" s="8" t="s">
        <v>863</v>
      </c>
      <c r="J200" s="8" t="s">
        <v>864</v>
      </c>
      <c r="K200" s="59">
        <v>6</v>
      </c>
    </row>
    <row r="201" spans="2:11" ht="30" customHeight="1" x14ac:dyDescent="0.3">
      <c r="B201" s="55"/>
      <c r="C201" s="58"/>
      <c r="D201" s="58"/>
      <c r="E201" s="58"/>
      <c r="F201" s="9">
        <v>2</v>
      </c>
      <c r="G201" s="8" t="s">
        <v>865</v>
      </c>
      <c r="H201" s="8" t="s">
        <v>866</v>
      </c>
      <c r="I201" s="8" t="s">
        <v>867</v>
      </c>
      <c r="J201" s="8" t="s">
        <v>868</v>
      </c>
      <c r="K201" s="59"/>
    </row>
    <row r="202" spans="2:11" ht="16.5" customHeight="1" x14ac:dyDescent="0.3">
      <c r="B202" s="55"/>
      <c r="C202" s="58"/>
      <c r="D202" s="58"/>
      <c r="E202" s="58"/>
      <c r="F202" s="9">
        <v>3</v>
      </c>
      <c r="G202" s="8" t="s">
        <v>869</v>
      </c>
      <c r="H202" s="8" t="s">
        <v>870</v>
      </c>
      <c r="I202" s="8" t="s">
        <v>871</v>
      </c>
      <c r="J202" s="8" t="s">
        <v>872</v>
      </c>
      <c r="K202" s="59"/>
    </row>
    <row r="203" spans="2:11" ht="16.5" customHeight="1" x14ac:dyDescent="0.3">
      <c r="B203" s="60" t="s">
        <v>873</v>
      </c>
      <c r="C203" s="61" t="s">
        <v>32</v>
      </c>
      <c r="D203" s="61" t="s">
        <v>874</v>
      </c>
      <c r="E203" s="61" t="s">
        <v>875</v>
      </c>
      <c r="F203" s="12">
        <v>1</v>
      </c>
      <c r="G203" s="11" t="s">
        <v>876</v>
      </c>
      <c r="H203" s="11" t="s">
        <v>877</v>
      </c>
      <c r="I203" s="11" t="s">
        <v>608</v>
      </c>
      <c r="J203" s="11" t="s">
        <v>878</v>
      </c>
      <c r="K203" s="62">
        <v>6</v>
      </c>
    </row>
    <row r="204" spans="2:11" ht="16.5" customHeight="1" x14ac:dyDescent="0.3">
      <c r="B204" s="60"/>
      <c r="C204" s="61"/>
      <c r="D204" s="61"/>
      <c r="E204" s="61"/>
      <c r="F204" s="12">
        <v>2</v>
      </c>
      <c r="G204" s="11" t="s">
        <v>879</v>
      </c>
      <c r="H204" s="11" t="s">
        <v>880</v>
      </c>
      <c r="I204" s="11" t="s">
        <v>608</v>
      </c>
      <c r="J204" s="11" t="s">
        <v>881</v>
      </c>
      <c r="K204" s="62"/>
    </row>
    <row r="205" spans="2:11" ht="21.75" customHeight="1" x14ac:dyDescent="0.3">
      <c r="B205" s="60"/>
      <c r="C205" s="61"/>
      <c r="D205" s="61"/>
      <c r="E205" s="61"/>
      <c r="F205" s="12">
        <v>3</v>
      </c>
      <c r="G205" s="11" t="s">
        <v>882</v>
      </c>
      <c r="H205" s="11" t="s">
        <v>883</v>
      </c>
      <c r="I205" s="11" t="s">
        <v>884</v>
      </c>
      <c r="J205" s="11" t="s">
        <v>885</v>
      </c>
      <c r="K205" s="62"/>
    </row>
    <row r="206" spans="2:11" ht="30" customHeight="1" x14ac:dyDescent="0.3">
      <c r="B206" s="60" t="s">
        <v>886</v>
      </c>
      <c r="C206" s="58" t="s">
        <v>32</v>
      </c>
      <c r="D206" s="58" t="s">
        <v>887</v>
      </c>
      <c r="E206" s="58" t="s">
        <v>888</v>
      </c>
      <c r="F206" s="9">
        <v>1</v>
      </c>
      <c r="G206" s="8" t="s">
        <v>889</v>
      </c>
      <c r="H206" s="8" t="s">
        <v>890</v>
      </c>
      <c r="I206" s="8" t="s">
        <v>608</v>
      </c>
      <c r="J206" s="8" t="s">
        <v>891</v>
      </c>
      <c r="K206" s="59">
        <v>6</v>
      </c>
    </row>
    <row r="207" spans="2:11" ht="30" customHeight="1" x14ac:dyDescent="0.3">
      <c r="B207" s="60"/>
      <c r="C207" s="58"/>
      <c r="D207" s="58"/>
      <c r="E207" s="58"/>
      <c r="F207" s="9">
        <v>2</v>
      </c>
      <c r="G207" s="8" t="s">
        <v>892</v>
      </c>
      <c r="H207" s="8" t="s">
        <v>893</v>
      </c>
      <c r="I207" s="8" t="s">
        <v>608</v>
      </c>
      <c r="J207" s="8" t="s">
        <v>894</v>
      </c>
      <c r="K207" s="59"/>
    </row>
    <row r="208" spans="2:11" ht="16.5" customHeight="1" x14ac:dyDescent="0.3">
      <c r="B208" s="60"/>
      <c r="C208" s="58"/>
      <c r="D208" s="58"/>
      <c r="E208" s="58"/>
      <c r="F208" s="9">
        <v>3</v>
      </c>
      <c r="G208" s="8" t="s">
        <v>895</v>
      </c>
      <c r="H208" s="8" t="s">
        <v>896</v>
      </c>
      <c r="I208" s="8" t="s">
        <v>608</v>
      </c>
      <c r="J208" s="8" t="s">
        <v>897</v>
      </c>
      <c r="K208" s="59"/>
    </row>
    <row r="209" spans="2:11" ht="16.5" customHeight="1" x14ac:dyDescent="0.3">
      <c r="B209" s="60" t="s">
        <v>898</v>
      </c>
      <c r="C209" s="61" t="s">
        <v>1623</v>
      </c>
      <c r="D209" s="61" t="s">
        <v>899</v>
      </c>
      <c r="E209" s="61" t="s">
        <v>900</v>
      </c>
      <c r="F209" s="12">
        <v>1</v>
      </c>
      <c r="G209" s="11" t="s">
        <v>901</v>
      </c>
      <c r="H209" s="11" t="s">
        <v>902</v>
      </c>
      <c r="I209" s="11" t="s">
        <v>903</v>
      </c>
      <c r="J209" s="11" t="s">
        <v>904</v>
      </c>
      <c r="K209" s="62">
        <v>6</v>
      </c>
    </row>
    <row r="210" spans="2:11" ht="30" customHeight="1" x14ac:dyDescent="0.3">
      <c r="B210" s="60"/>
      <c r="C210" s="61"/>
      <c r="D210" s="61"/>
      <c r="E210" s="61"/>
      <c r="F210" s="12">
        <v>2</v>
      </c>
      <c r="G210" s="11" t="s">
        <v>905</v>
      </c>
      <c r="H210" s="11" t="s">
        <v>906</v>
      </c>
      <c r="I210" s="11" t="s">
        <v>907</v>
      </c>
      <c r="J210" s="11" t="s">
        <v>908</v>
      </c>
      <c r="K210" s="62"/>
    </row>
    <row r="211" spans="2:11" ht="16.5" customHeight="1" x14ac:dyDescent="0.3">
      <c r="B211" s="60"/>
      <c r="C211" s="61"/>
      <c r="D211" s="61"/>
      <c r="E211" s="61"/>
      <c r="F211" s="12">
        <v>3</v>
      </c>
      <c r="G211" s="11" t="s">
        <v>606</v>
      </c>
      <c r="H211" s="11" t="s">
        <v>909</v>
      </c>
      <c r="I211" s="11" t="s">
        <v>608</v>
      </c>
      <c r="J211" s="11" t="s">
        <v>910</v>
      </c>
      <c r="K211" s="62"/>
    </row>
    <row r="212" spans="2:11" ht="16.5" customHeight="1" x14ac:dyDescent="0.3">
      <c r="B212" s="60" t="s">
        <v>911</v>
      </c>
      <c r="C212" s="58" t="s">
        <v>32</v>
      </c>
      <c r="D212" s="58" t="s">
        <v>912</v>
      </c>
      <c r="E212" s="58" t="s">
        <v>913</v>
      </c>
      <c r="F212" s="9">
        <v>1</v>
      </c>
      <c r="G212" s="8" t="s">
        <v>914</v>
      </c>
      <c r="H212" s="8" t="s">
        <v>915</v>
      </c>
      <c r="I212" s="8" t="s">
        <v>608</v>
      </c>
      <c r="J212" s="8" t="s">
        <v>916</v>
      </c>
      <c r="K212" s="59">
        <v>6</v>
      </c>
    </row>
    <row r="213" spans="2:11" ht="30" customHeight="1" x14ac:dyDescent="0.3">
      <c r="B213" s="60"/>
      <c r="C213" s="58"/>
      <c r="D213" s="58"/>
      <c r="E213" s="58"/>
      <c r="F213" s="9">
        <v>2</v>
      </c>
      <c r="G213" s="8" t="s">
        <v>917</v>
      </c>
      <c r="H213" s="8" t="s">
        <v>918</v>
      </c>
      <c r="I213" s="8" t="s">
        <v>608</v>
      </c>
      <c r="J213" s="8" t="s">
        <v>919</v>
      </c>
      <c r="K213" s="59"/>
    </row>
    <row r="214" spans="2:11" ht="16.5" customHeight="1" x14ac:dyDescent="0.3">
      <c r="B214" s="60"/>
      <c r="C214" s="58"/>
      <c r="D214" s="58"/>
      <c r="E214" s="58"/>
      <c r="F214" s="9">
        <v>3</v>
      </c>
      <c r="G214" s="8" t="s">
        <v>677</v>
      </c>
      <c r="H214" s="8" t="s">
        <v>920</v>
      </c>
      <c r="I214" s="8" t="s">
        <v>608</v>
      </c>
      <c r="J214" s="8" t="s">
        <v>921</v>
      </c>
      <c r="K214" s="59"/>
    </row>
  </sheetData>
  <autoFilter ref="B1:K84" xr:uid="{00000000-0001-0000-0000-000000000000}"/>
  <mergeCells count="338">
    <mergeCell ref="B209:B211"/>
    <mergeCell ref="C209:C211"/>
    <mergeCell ref="D209:D211"/>
    <mergeCell ref="E209:E211"/>
    <mergeCell ref="K209:K211"/>
    <mergeCell ref="B212:B214"/>
    <mergeCell ref="C212:C214"/>
    <mergeCell ref="D212:D214"/>
    <mergeCell ref="E212:E214"/>
    <mergeCell ref="K212:K214"/>
    <mergeCell ref="B203:B205"/>
    <mergeCell ref="C203:C205"/>
    <mergeCell ref="D203:D205"/>
    <mergeCell ref="E203:E205"/>
    <mergeCell ref="K203:K205"/>
    <mergeCell ref="B206:B208"/>
    <mergeCell ref="C206:C208"/>
    <mergeCell ref="D206:D208"/>
    <mergeCell ref="E206:E208"/>
    <mergeCell ref="K206:K208"/>
    <mergeCell ref="B197:B199"/>
    <mergeCell ref="C197:C199"/>
    <mergeCell ref="D197:D199"/>
    <mergeCell ref="E197:E199"/>
    <mergeCell ref="K197:K199"/>
    <mergeCell ref="B200:B202"/>
    <mergeCell ref="C200:C202"/>
    <mergeCell ref="D200:D202"/>
    <mergeCell ref="E200:E202"/>
    <mergeCell ref="K200:K202"/>
    <mergeCell ref="B190:K190"/>
    <mergeCell ref="B191:B193"/>
    <mergeCell ref="C191:C193"/>
    <mergeCell ref="D191:D193"/>
    <mergeCell ref="E191:E193"/>
    <mergeCell ref="K191:K193"/>
    <mergeCell ref="B194:B196"/>
    <mergeCell ref="C194:C196"/>
    <mergeCell ref="D194:D196"/>
    <mergeCell ref="E194:E196"/>
    <mergeCell ref="K194:K196"/>
    <mergeCell ref="B183:B185"/>
    <mergeCell ref="C183:C185"/>
    <mergeCell ref="D183:D185"/>
    <mergeCell ref="E183:E185"/>
    <mergeCell ref="K183:K185"/>
    <mergeCell ref="B186:B188"/>
    <mergeCell ref="C186:C188"/>
    <mergeCell ref="D186:D188"/>
    <mergeCell ref="E186:E188"/>
    <mergeCell ref="K186:K188"/>
    <mergeCell ref="B177:B179"/>
    <mergeCell ref="C177:C179"/>
    <mergeCell ref="D177:D179"/>
    <mergeCell ref="E177:E179"/>
    <mergeCell ref="K177:K179"/>
    <mergeCell ref="B180:B182"/>
    <mergeCell ref="C180:C182"/>
    <mergeCell ref="D180:D182"/>
    <mergeCell ref="E180:E182"/>
    <mergeCell ref="K180:K182"/>
    <mergeCell ref="B171:B173"/>
    <mergeCell ref="C171:C173"/>
    <mergeCell ref="D171:D173"/>
    <mergeCell ref="E171:E173"/>
    <mergeCell ref="K171:K173"/>
    <mergeCell ref="B174:B176"/>
    <mergeCell ref="C174:C176"/>
    <mergeCell ref="D174:D176"/>
    <mergeCell ref="E174:E176"/>
    <mergeCell ref="K174:K176"/>
    <mergeCell ref="B164:K164"/>
    <mergeCell ref="B165:B167"/>
    <mergeCell ref="C165:C167"/>
    <mergeCell ref="D165:D167"/>
    <mergeCell ref="E165:E167"/>
    <mergeCell ref="K165:K167"/>
    <mergeCell ref="B168:B170"/>
    <mergeCell ref="C168:C170"/>
    <mergeCell ref="D168:D170"/>
    <mergeCell ref="E168:E170"/>
    <mergeCell ref="K168:K170"/>
    <mergeCell ref="B157:B159"/>
    <mergeCell ref="C157:C159"/>
    <mergeCell ref="D157:D159"/>
    <mergeCell ref="E157:E159"/>
    <mergeCell ref="K157:K159"/>
    <mergeCell ref="B160:B162"/>
    <mergeCell ref="C160:C162"/>
    <mergeCell ref="D160:D162"/>
    <mergeCell ref="E160:E162"/>
    <mergeCell ref="K160:K162"/>
    <mergeCell ref="B151:B153"/>
    <mergeCell ref="C151:C153"/>
    <mergeCell ref="D151:D153"/>
    <mergeCell ref="E151:E153"/>
    <mergeCell ref="K151:K153"/>
    <mergeCell ref="B154:B156"/>
    <mergeCell ref="C154:C156"/>
    <mergeCell ref="D154:D156"/>
    <mergeCell ref="E154:E156"/>
    <mergeCell ref="K154:K156"/>
    <mergeCell ref="B145:B147"/>
    <mergeCell ref="C145:C147"/>
    <mergeCell ref="D145:D147"/>
    <mergeCell ref="E145:E147"/>
    <mergeCell ref="K145:K147"/>
    <mergeCell ref="B148:B150"/>
    <mergeCell ref="C148:C150"/>
    <mergeCell ref="D148:D150"/>
    <mergeCell ref="E148:E150"/>
    <mergeCell ref="K148:K150"/>
    <mergeCell ref="B138:K138"/>
    <mergeCell ref="B139:B141"/>
    <mergeCell ref="C139:C141"/>
    <mergeCell ref="D139:D141"/>
    <mergeCell ref="E139:E141"/>
    <mergeCell ref="K139:K141"/>
    <mergeCell ref="B142:B144"/>
    <mergeCell ref="C142:C144"/>
    <mergeCell ref="D142:D144"/>
    <mergeCell ref="E142:E144"/>
    <mergeCell ref="K142:K144"/>
    <mergeCell ref="B131:B133"/>
    <mergeCell ref="C131:C133"/>
    <mergeCell ref="D131:D133"/>
    <mergeCell ref="E131:E133"/>
    <mergeCell ref="K131:K133"/>
    <mergeCell ref="B134:B136"/>
    <mergeCell ref="C134:C136"/>
    <mergeCell ref="D134:D136"/>
    <mergeCell ref="E134:E136"/>
    <mergeCell ref="K134:K136"/>
    <mergeCell ref="B125:B127"/>
    <mergeCell ref="C125:C127"/>
    <mergeCell ref="D125:D127"/>
    <mergeCell ref="E125:E127"/>
    <mergeCell ref="K125:K127"/>
    <mergeCell ref="B128:B130"/>
    <mergeCell ref="C128:C130"/>
    <mergeCell ref="D128:D130"/>
    <mergeCell ref="E128:E130"/>
    <mergeCell ref="K128:K130"/>
    <mergeCell ref="B119:B121"/>
    <mergeCell ref="C119:C121"/>
    <mergeCell ref="D119:D121"/>
    <mergeCell ref="E119:E121"/>
    <mergeCell ref="K119:K121"/>
    <mergeCell ref="B122:B124"/>
    <mergeCell ref="C122:C124"/>
    <mergeCell ref="D122:D124"/>
    <mergeCell ref="E122:E124"/>
    <mergeCell ref="K122:K124"/>
    <mergeCell ref="B112:K112"/>
    <mergeCell ref="B113:B115"/>
    <mergeCell ref="C113:C115"/>
    <mergeCell ref="D113:D115"/>
    <mergeCell ref="E113:E115"/>
    <mergeCell ref="K113:K115"/>
    <mergeCell ref="B116:B118"/>
    <mergeCell ref="C116:C118"/>
    <mergeCell ref="D116:D118"/>
    <mergeCell ref="E116:E118"/>
    <mergeCell ref="K116:K118"/>
    <mergeCell ref="B105:B107"/>
    <mergeCell ref="C105:C107"/>
    <mergeCell ref="D105:D107"/>
    <mergeCell ref="E105:E107"/>
    <mergeCell ref="K105:K107"/>
    <mergeCell ref="B108:B110"/>
    <mergeCell ref="C108:C110"/>
    <mergeCell ref="D108:D110"/>
    <mergeCell ref="E108:E110"/>
    <mergeCell ref="K108:K110"/>
    <mergeCell ref="B99:B101"/>
    <mergeCell ref="C99:C101"/>
    <mergeCell ref="D99:D101"/>
    <mergeCell ref="E99:E101"/>
    <mergeCell ref="K99:K101"/>
    <mergeCell ref="B102:B104"/>
    <mergeCell ref="C102:C104"/>
    <mergeCell ref="D102:D104"/>
    <mergeCell ref="E102:E104"/>
    <mergeCell ref="K102:K104"/>
    <mergeCell ref="B93:B95"/>
    <mergeCell ref="C93:C95"/>
    <mergeCell ref="D93:D95"/>
    <mergeCell ref="E93:E95"/>
    <mergeCell ref="K93:K95"/>
    <mergeCell ref="B96:B98"/>
    <mergeCell ref="C96:C98"/>
    <mergeCell ref="D96:D98"/>
    <mergeCell ref="E96:E98"/>
    <mergeCell ref="K96:K98"/>
    <mergeCell ref="B86:K86"/>
    <mergeCell ref="B87:B89"/>
    <mergeCell ref="C87:C89"/>
    <mergeCell ref="D87:D89"/>
    <mergeCell ref="E87:E89"/>
    <mergeCell ref="K87:K89"/>
    <mergeCell ref="B90:B92"/>
    <mergeCell ref="C90:C92"/>
    <mergeCell ref="D90:D92"/>
    <mergeCell ref="E90:E92"/>
    <mergeCell ref="K90:K92"/>
    <mergeCell ref="B79:B81"/>
    <mergeCell ref="C79:C81"/>
    <mergeCell ref="D79:D81"/>
    <mergeCell ref="E79:E81"/>
    <mergeCell ref="K79:K81"/>
    <mergeCell ref="B82:B84"/>
    <mergeCell ref="C82:C84"/>
    <mergeCell ref="D82:D84"/>
    <mergeCell ref="E82:E84"/>
    <mergeCell ref="K82:K84"/>
    <mergeCell ref="B73:B75"/>
    <mergeCell ref="C73:C75"/>
    <mergeCell ref="D73:D75"/>
    <mergeCell ref="E73:E75"/>
    <mergeCell ref="K73:K75"/>
    <mergeCell ref="B76:B78"/>
    <mergeCell ref="C76:C78"/>
    <mergeCell ref="D76:D78"/>
    <mergeCell ref="E76:E78"/>
    <mergeCell ref="K76:K78"/>
    <mergeCell ref="B67:B69"/>
    <mergeCell ref="C67:C69"/>
    <mergeCell ref="D67:D69"/>
    <mergeCell ref="E67:E69"/>
    <mergeCell ref="K67:K69"/>
    <mergeCell ref="B70:B72"/>
    <mergeCell ref="C70:C72"/>
    <mergeCell ref="D70:D72"/>
    <mergeCell ref="E70:E72"/>
    <mergeCell ref="K70:K72"/>
    <mergeCell ref="B61:B63"/>
    <mergeCell ref="C61:C63"/>
    <mergeCell ref="D61:D63"/>
    <mergeCell ref="E61:E63"/>
    <mergeCell ref="K61:K63"/>
    <mergeCell ref="B64:B66"/>
    <mergeCell ref="C64:C66"/>
    <mergeCell ref="D64:D66"/>
    <mergeCell ref="E64:E66"/>
    <mergeCell ref="K64:K66"/>
    <mergeCell ref="B55:B57"/>
    <mergeCell ref="C55:C57"/>
    <mergeCell ref="D55:D57"/>
    <mergeCell ref="E55:E57"/>
    <mergeCell ref="K55:K57"/>
    <mergeCell ref="B58:B60"/>
    <mergeCell ref="C58:C60"/>
    <mergeCell ref="D58:D60"/>
    <mergeCell ref="E58:E60"/>
    <mergeCell ref="K58:K60"/>
    <mergeCell ref="B49:B51"/>
    <mergeCell ref="C49:C51"/>
    <mergeCell ref="D49:D51"/>
    <mergeCell ref="E49:E51"/>
    <mergeCell ref="K49:K51"/>
    <mergeCell ref="B52:B54"/>
    <mergeCell ref="C52:C54"/>
    <mergeCell ref="D52:D54"/>
    <mergeCell ref="E52:E54"/>
    <mergeCell ref="K52:K54"/>
    <mergeCell ref="B43:B45"/>
    <mergeCell ref="C43:C45"/>
    <mergeCell ref="D43:D45"/>
    <mergeCell ref="E43:E45"/>
    <mergeCell ref="K43:K45"/>
    <mergeCell ref="B46:B48"/>
    <mergeCell ref="C46:C48"/>
    <mergeCell ref="D46:D48"/>
    <mergeCell ref="E46:E48"/>
    <mergeCell ref="K46:K48"/>
    <mergeCell ref="B37:B39"/>
    <mergeCell ref="C37:C39"/>
    <mergeCell ref="D37:D39"/>
    <mergeCell ref="E37:E39"/>
    <mergeCell ref="K37:K39"/>
    <mergeCell ref="B40:B42"/>
    <mergeCell ref="C40:C42"/>
    <mergeCell ref="D40:D42"/>
    <mergeCell ref="E40:E42"/>
    <mergeCell ref="K40:K42"/>
    <mergeCell ref="B31:B33"/>
    <mergeCell ref="C31:C33"/>
    <mergeCell ref="D31:D33"/>
    <mergeCell ref="E31:E33"/>
    <mergeCell ref="K31:K33"/>
    <mergeCell ref="B34:B36"/>
    <mergeCell ref="C34:C36"/>
    <mergeCell ref="D34:D36"/>
    <mergeCell ref="E34:E36"/>
    <mergeCell ref="K34:K36"/>
    <mergeCell ref="B25:B27"/>
    <mergeCell ref="C25:C27"/>
    <mergeCell ref="D25:D27"/>
    <mergeCell ref="E25:E27"/>
    <mergeCell ref="K25:K27"/>
    <mergeCell ref="B28:B30"/>
    <mergeCell ref="C28:C30"/>
    <mergeCell ref="D28:D30"/>
    <mergeCell ref="E28:E30"/>
    <mergeCell ref="K28:K30"/>
    <mergeCell ref="B19:B21"/>
    <mergeCell ref="C19:C21"/>
    <mergeCell ref="D19:D21"/>
    <mergeCell ref="E19:E21"/>
    <mergeCell ref="K19:K21"/>
    <mergeCell ref="B22:B24"/>
    <mergeCell ref="C22:C24"/>
    <mergeCell ref="D22:D24"/>
    <mergeCell ref="E22:E24"/>
    <mergeCell ref="K22:K24"/>
    <mergeCell ref="B13:B15"/>
    <mergeCell ref="C13:C15"/>
    <mergeCell ref="D13:D15"/>
    <mergeCell ref="E13:E15"/>
    <mergeCell ref="K13:K15"/>
    <mergeCell ref="B16:B18"/>
    <mergeCell ref="C16:C18"/>
    <mergeCell ref="D16:D18"/>
    <mergeCell ref="E16:E18"/>
    <mergeCell ref="K16:K18"/>
    <mergeCell ref="C4:F4"/>
    <mergeCell ref="G4:J4"/>
    <mergeCell ref="B6:K6"/>
    <mergeCell ref="B7:B9"/>
    <mergeCell ref="C7:C9"/>
    <mergeCell ref="D7:D9"/>
    <mergeCell ref="E7:E9"/>
    <mergeCell ref="K7:K9"/>
    <mergeCell ref="B10:B12"/>
    <mergeCell ref="C10:C12"/>
    <mergeCell ref="D10:D12"/>
    <mergeCell ref="E10:E12"/>
    <mergeCell ref="K10:K12"/>
  </mergeCells>
  <pageMargins left="0.75" right="0.75" top="1" bottom="1" header="0.511811023622047" footer="0.511811023622047"/>
  <pageSetup fitToHeight="0" orientation="landscape" useFirstPageNumber="1"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11"/>
  <sheetViews>
    <sheetView zoomScaleNormal="100" workbookViewId="0"/>
  </sheetViews>
  <sheetFormatPr baseColWidth="10" defaultColWidth="8.6640625" defaultRowHeight="14.4" x14ac:dyDescent="0.3"/>
  <cols>
    <col min="1" max="1" width="1.5546875" customWidth="1"/>
    <col min="3" max="3" width="36" customWidth="1"/>
    <col min="4" max="4" width="70" customWidth="1"/>
    <col min="5" max="7" width="12" customWidth="1"/>
  </cols>
  <sheetData>
    <row r="1" spans="2:7" ht="30" customHeight="1" x14ac:dyDescent="0.4">
      <c r="B1" s="13" t="s">
        <v>922</v>
      </c>
    </row>
    <row r="2" spans="2:7" ht="15" customHeight="1" x14ac:dyDescent="0.3">
      <c r="B2" s="3" t="s">
        <v>923</v>
      </c>
    </row>
    <row r="4" spans="2:7" ht="30" customHeight="1" x14ac:dyDescent="0.3">
      <c r="B4" s="5" t="s">
        <v>924</v>
      </c>
      <c r="C4" s="5" t="s">
        <v>925</v>
      </c>
      <c r="D4" s="5" t="s">
        <v>926</v>
      </c>
      <c r="E4" s="5" t="s">
        <v>927</v>
      </c>
      <c r="F4" s="5" t="s">
        <v>928</v>
      </c>
      <c r="G4" s="5" t="s">
        <v>929</v>
      </c>
    </row>
    <row r="5" spans="2:7" ht="33.75" customHeight="1" x14ac:dyDescent="0.3">
      <c r="B5" s="14">
        <v>1</v>
      </c>
      <c r="C5" s="15" t="s">
        <v>930</v>
      </c>
      <c r="D5" s="16" t="s">
        <v>931</v>
      </c>
      <c r="E5" s="17">
        <f>COUNTIF('Historias de Usuario'!$B:$B,"E1-F*")</f>
        <v>13</v>
      </c>
      <c r="F5" s="17">
        <f>COUNTIF('Historias de Usuario'!$B:$B,"E1-B*")</f>
        <v>13</v>
      </c>
      <c r="G5" s="18">
        <f t="shared" ref="G5:G10" si="0">E5+F5</f>
        <v>26</v>
      </c>
    </row>
    <row r="6" spans="2:7" ht="33.75" customHeight="1" x14ac:dyDescent="0.3">
      <c r="B6" s="10">
        <v>2</v>
      </c>
      <c r="C6" s="19" t="s">
        <v>932</v>
      </c>
      <c r="D6" s="20" t="s">
        <v>933</v>
      </c>
      <c r="E6" s="21">
        <f>COUNTIF('Historias de Usuario'!$B:$B,"E2-F*")</f>
        <v>4</v>
      </c>
      <c r="F6" s="21">
        <f>COUNTIF('Historias de Usuario'!$B:$B,"E2-B*")</f>
        <v>4</v>
      </c>
      <c r="G6" s="22">
        <f t="shared" si="0"/>
        <v>8</v>
      </c>
    </row>
    <row r="7" spans="2:7" ht="33.75" customHeight="1" x14ac:dyDescent="0.3">
      <c r="B7" s="14">
        <v>3</v>
      </c>
      <c r="C7" s="15" t="s">
        <v>934</v>
      </c>
      <c r="D7" s="16" t="s">
        <v>935</v>
      </c>
      <c r="E7" s="17">
        <f>COUNTIF('Historias de Usuario'!$B:$B,"E3-F*")</f>
        <v>4</v>
      </c>
      <c r="F7" s="17">
        <f>COUNTIF('Historias de Usuario'!$B:$B,"E3-B*")</f>
        <v>4</v>
      </c>
      <c r="G7" s="18">
        <f t="shared" si="0"/>
        <v>8</v>
      </c>
    </row>
    <row r="8" spans="2:7" ht="33.75" customHeight="1" x14ac:dyDescent="0.3">
      <c r="B8" s="10">
        <v>4</v>
      </c>
      <c r="C8" s="19" t="s">
        <v>936</v>
      </c>
      <c r="D8" s="20" t="s">
        <v>937</v>
      </c>
      <c r="E8" s="21">
        <f>COUNTIF('Historias de Usuario'!$B:$B,"E4-F*")</f>
        <v>4</v>
      </c>
      <c r="F8" s="21">
        <f>COUNTIF('Historias de Usuario'!$B:$B,"E4-B*")</f>
        <v>4</v>
      </c>
      <c r="G8" s="22">
        <f t="shared" si="0"/>
        <v>8</v>
      </c>
    </row>
    <row r="9" spans="2:7" ht="33.75" customHeight="1" x14ac:dyDescent="0.3">
      <c r="B9" s="14">
        <v>5</v>
      </c>
      <c r="C9" s="15" t="s">
        <v>938</v>
      </c>
      <c r="D9" s="16" t="s">
        <v>939</v>
      </c>
      <c r="E9" s="17">
        <f>COUNTIF('Historias de Usuario'!$B:$B,"E5-F*")</f>
        <v>4</v>
      </c>
      <c r="F9" s="17">
        <f>COUNTIF('Historias de Usuario'!$B:$B,"E5-B*")</f>
        <v>4</v>
      </c>
      <c r="G9" s="18">
        <f t="shared" si="0"/>
        <v>8</v>
      </c>
    </row>
    <row r="10" spans="2:7" ht="33.75" customHeight="1" x14ac:dyDescent="0.3">
      <c r="B10" s="10">
        <v>6</v>
      </c>
      <c r="C10" s="19" t="s">
        <v>940</v>
      </c>
      <c r="D10" s="20" t="s">
        <v>941</v>
      </c>
      <c r="E10" s="21">
        <f>COUNTIF('Historias de Usuario'!$B:$B,"E6-F*")</f>
        <v>4</v>
      </c>
      <c r="F10" s="21">
        <f>COUNTIF('Historias de Usuario'!$B:$B,"E6-B*")</f>
        <v>4</v>
      </c>
      <c r="G10" s="22">
        <f t="shared" si="0"/>
        <v>8</v>
      </c>
    </row>
    <row r="11" spans="2:7" ht="15" customHeight="1" x14ac:dyDescent="0.3">
      <c r="B11" s="63" t="s">
        <v>942</v>
      </c>
      <c r="C11" s="63"/>
      <c r="D11" s="63"/>
      <c r="E11" s="23">
        <f>SUM(E5:E10)</f>
        <v>33</v>
      </c>
      <c r="F11" s="23">
        <f>SUM(F5:F10)</f>
        <v>33</v>
      </c>
      <c r="G11" s="23">
        <f>SUM(G5:G10)</f>
        <v>66</v>
      </c>
    </row>
  </sheetData>
  <mergeCells count="1">
    <mergeCell ref="B11:D11"/>
  </mergeCells>
  <pageMargins left="0.75" right="0.75" top="1" bottom="1" header="0.511811023622047" footer="0.511811023622047"/>
  <pageSetup paperSize="9"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36"/>
  <sheetViews>
    <sheetView zoomScaleNormal="100" workbookViewId="0"/>
  </sheetViews>
  <sheetFormatPr baseColWidth="10" defaultColWidth="8.6640625" defaultRowHeight="14.4" x14ac:dyDescent="0.3"/>
  <cols>
    <col min="1" max="1" width="1.5546875" customWidth="1"/>
    <col min="3" max="3" width="34" customWidth="1"/>
    <col min="4" max="4" width="28" customWidth="1"/>
    <col min="5" max="5" width="34" customWidth="1"/>
  </cols>
  <sheetData>
    <row r="1" spans="2:5" ht="30" customHeight="1" x14ac:dyDescent="0.4">
      <c r="B1" s="13" t="s">
        <v>943</v>
      </c>
    </row>
    <row r="2" spans="2:5" ht="15" customHeight="1" x14ac:dyDescent="0.3">
      <c r="B2" s="3" t="s">
        <v>944</v>
      </c>
    </row>
    <row r="4" spans="2:5" ht="25.5" customHeight="1" x14ac:dyDescent="0.3">
      <c r="B4" s="5" t="s">
        <v>924</v>
      </c>
      <c r="C4" s="5" t="s">
        <v>945</v>
      </c>
      <c r="D4" s="5" t="s">
        <v>927</v>
      </c>
      <c r="E4" s="5" t="s">
        <v>928</v>
      </c>
    </row>
    <row r="5" spans="2:5" ht="19.5" customHeight="1" x14ac:dyDescent="0.3">
      <c r="B5" s="64" t="s">
        <v>946</v>
      </c>
      <c r="C5" s="15" t="s">
        <v>947</v>
      </c>
      <c r="D5" s="24" t="s">
        <v>16</v>
      </c>
      <c r="E5" s="25" t="s">
        <v>948</v>
      </c>
    </row>
    <row r="6" spans="2:5" ht="19.5" customHeight="1" x14ac:dyDescent="0.3">
      <c r="B6" s="64"/>
      <c r="C6" s="19" t="s">
        <v>949</v>
      </c>
      <c r="D6" s="26" t="s">
        <v>950</v>
      </c>
      <c r="E6" s="27" t="s">
        <v>951</v>
      </c>
    </row>
    <row r="7" spans="2:5" ht="19.5" customHeight="1" x14ac:dyDescent="0.3">
      <c r="B7" s="64"/>
      <c r="C7" s="15" t="s">
        <v>952</v>
      </c>
      <c r="D7" s="24" t="s">
        <v>60</v>
      </c>
      <c r="E7" s="25" t="s">
        <v>247</v>
      </c>
    </row>
    <row r="8" spans="2:5" ht="19.5" customHeight="1" x14ac:dyDescent="0.3">
      <c r="B8" s="64"/>
      <c r="C8" s="19" t="s">
        <v>953</v>
      </c>
      <c r="D8" s="26" t="s">
        <v>954</v>
      </c>
      <c r="E8" s="27" t="s">
        <v>955</v>
      </c>
    </row>
    <row r="9" spans="2:5" ht="19.5" customHeight="1" x14ac:dyDescent="0.3">
      <c r="B9" s="64"/>
      <c r="C9" s="15" t="s">
        <v>956</v>
      </c>
      <c r="D9" s="24" t="s">
        <v>957</v>
      </c>
      <c r="E9" s="25" t="s">
        <v>958</v>
      </c>
    </row>
    <row r="10" spans="2:5" ht="19.5" customHeight="1" x14ac:dyDescent="0.3">
      <c r="B10" s="64"/>
      <c r="C10" s="19" t="s">
        <v>959</v>
      </c>
      <c r="D10" s="26" t="s">
        <v>130</v>
      </c>
      <c r="E10" s="27" t="s">
        <v>960</v>
      </c>
    </row>
    <row r="11" spans="2:5" ht="19.5" customHeight="1" x14ac:dyDescent="0.3">
      <c r="B11" s="64"/>
      <c r="C11" s="15" t="s">
        <v>961</v>
      </c>
      <c r="D11" s="24" t="s">
        <v>145</v>
      </c>
      <c r="E11" s="25" t="s">
        <v>962</v>
      </c>
    </row>
    <row r="12" spans="2:5" ht="19.5" customHeight="1" x14ac:dyDescent="0.3">
      <c r="B12" s="64"/>
      <c r="C12" s="19" t="s">
        <v>963</v>
      </c>
      <c r="D12" s="26" t="s">
        <v>160</v>
      </c>
      <c r="E12" s="27" t="s">
        <v>330</v>
      </c>
    </row>
    <row r="13" spans="2:5" ht="19.5" customHeight="1" x14ac:dyDescent="0.3">
      <c r="B13" s="64"/>
      <c r="C13" s="15" t="s">
        <v>348</v>
      </c>
      <c r="D13" s="24" t="s">
        <v>176</v>
      </c>
      <c r="E13" s="25" t="s">
        <v>343</v>
      </c>
    </row>
    <row r="14" spans="2:5" ht="19.5" customHeight="1" x14ac:dyDescent="0.3">
      <c r="B14" t="s">
        <v>946</v>
      </c>
      <c r="C14" s="15" t="s">
        <v>964</v>
      </c>
      <c r="D14" s="24" t="s">
        <v>190</v>
      </c>
      <c r="E14" s="25" t="s">
        <v>371</v>
      </c>
    </row>
    <row r="16" spans="2:5" ht="19.5" customHeight="1" x14ac:dyDescent="0.3">
      <c r="B16" s="64" t="s">
        <v>965</v>
      </c>
      <c r="C16" s="15" t="s">
        <v>966</v>
      </c>
      <c r="D16" s="24" t="s">
        <v>387</v>
      </c>
      <c r="E16" s="25" t="s">
        <v>445</v>
      </c>
    </row>
    <row r="17" spans="2:5" ht="19.5" customHeight="1" x14ac:dyDescent="0.3">
      <c r="B17" s="64"/>
      <c r="C17" s="19" t="s">
        <v>967</v>
      </c>
      <c r="D17" s="26" t="s">
        <v>400</v>
      </c>
      <c r="E17" s="27" t="s">
        <v>968</v>
      </c>
    </row>
    <row r="18" spans="2:5" ht="19.5" customHeight="1" x14ac:dyDescent="0.3">
      <c r="B18" s="64"/>
      <c r="C18" s="15" t="s">
        <v>969</v>
      </c>
      <c r="D18" s="24" t="s">
        <v>415</v>
      </c>
      <c r="E18" s="25" t="s">
        <v>473</v>
      </c>
    </row>
    <row r="19" spans="2:5" ht="19.5" customHeight="1" x14ac:dyDescent="0.3">
      <c r="B19" s="64"/>
      <c r="C19" s="19" t="s">
        <v>970</v>
      </c>
      <c r="D19" s="26" t="s">
        <v>430</v>
      </c>
      <c r="E19" s="27" t="s">
        <v>971</v>
      </c>
    </row>
    <row r="21" spans="2:5" ht="19.5" customHeight="1" x14ac:dyDescent="0.3">
      <c r="B21" s="64" t="s">
        <v>972</v>
      </c>
      <c r="C21" s="15" t="s">
        <v>973</v>
      </c>
      <c r="D21" s="24" t="s">
        <v>974</v>
      </c>
      <c r="E21" s="25" t="s">
        <v>975</v>
      </c>
    </row>
    <row r="22" spans="2:5" ht="19.5" customHeight="1" x14ac:dyDescent="0.3">
      <c r="B22" s="64"/>
      <c r="C22" s="19" t="s">
        <v>976</v>
      </c>
      <c r="D22" s="26" t="s">
        <v>526</v>
      </c>
      <c r="E22" s="27" t="s">
        <v>977</v>
      </c>
    </row>
    <row r="23" spans="2:5" ht="19.5" customHeight="1" x14ac:dyDescent="0.3">
      <c r="B23" s="64"/>
      <c r="C23" s="15" t="s">
        <v>978</v>
      </c>
      <c r="D23" s="24" t="s">
        <v>541</v>
      </c>
      <c r="E23" s="25" t="s">
        <v>979</v>
      </c>
    </row>
    <row r="25" spans="2:5" ht="19.5" customHeight="1" x14ac:dyDescent="0.3">
      <c r="B25" s="64" t="s">
        <v>980</v>
      </c>
      <c r="C25" s="15" t="s">
        <v>981</v>
      </c>
      <c r="D25" s="24" t="s">
        <v>611</v>
      </c>
      <c r="E25" s="25" t="s">
        <v>668</v>
      </c>
    </row>
    <row r="26" spans="2:5" ht="19.5" customHeight="1" x14ac:dyDescent="0.3">
      <c r="B26" s="64"/>
      <c r="C26" s="19" t="s">
        <v>982</v>
      </c>
      <c r="D26" s="26" t="s">
        <v>983</v>
      </c>
      <c r="E26" s="27" t="s">
        <v>984</v>
      </c>
    </row>
    <row r="27" spans="2:5" ht="19.5" customHeight="1" x14ac:dyDescent="0.3">
      <c r="B27" s="64"/>
      <c r="C27" s="15" t="s">
        <v>656</v>
      </c>
      <c r="D27" s="24" t="s">
        <v>653</v>
      </c>
      <c r="E27" s="25" t="s">
        <v>985</v>
      </c>
    </row>
    <row r="29" spans="2:5" ht="19.5" customHeight="1" x14ac:dyDescent="0.3">
      <c r="B29" s="64" t="s">
        <v>986</v>
      </c>
      <c r="C29" s="15" t="s">
        <v>987</v>
      </c>
      <c r="D29" s="24" t="s">
        <v>716</v>
      </c>
      <c r="E29" s="25" t="s">
        <v>771</v>
      </c>
    </row>
    <row r="30" spans="2:5" ht="19.5" customHeight="1" x14ac:dyDescent="0.3">
      <c r="B30" s="64"/>
      <c r="C30" s="19" t="s">
        <v>988</v>
      </c>
      <c r="D30" s="26" t="s">
        <v>730</v>
      </c>
      <c r="E30" s="27" t="s">
        <v>989</v>
      </c>
    </row>
    <row r="31" spans="2:5" ht="19.5" customHeight="1" x14ac:dyDescent="0.3">
      <c r="B31" s="64"/>
      <c r="C31" s="15" t="s">
        <v>990</v>
      </c>
      <c r="D31" s="24" t="s">
        <v>743</v>
      </c>
      <c r="E31" s="25" t="s">
        <v>991</v>
      </c>
    </row>
    <row r="32" spans="2:5" ht="19.5" customHeight="1" x14ac:dyDescent="0.3">
      <c r="B32" s="64"/>
      <c r="C32" s="19" t="s">
        <v>992</v>
      </c>
      <c r="D32" s="26" t="s">
        <v>757</v>
      </c>
      <c r="E32" s="27" t="s">
        <v>807</v>
      </c>
    </row>
    <row r="34" spans="2:5" ht="19.5" customHeight="1" x14ac:dyDescent="0.3">
      <c r="B34" s="64" t="s">
        <v>993</v>
      </c>
      <c r="C34" s="15" t="s">
        <v>994</v>
      </c>
      <c r="D34" s="24" t="s">
        <v>817</v>
      </c>
      <c r="E34" s="25" t="s">
        <v>873</v>
      </c>
    </row>
    <row r="35" spans="2:5" ht="19.5" customHeight="1" x14ac:dyDescent="0.3">
      <c r="B35" s="64"/>
      <c r="C35" s="19" t="s">
        <v>995</v>
      </c>
      <c r="D35" s="26" t="s">
        <v>996</v>
      </c>
      <c r="E35" s="27" t="s">
        <v>886</v>
      </c>
    </row>
    <row r="36" spans="2:5" ht="19.5" customHeight="1" x14ac:dyDescent="0.3">
      <c r="B36" s="64"/>
      <c r="C36" s="15" t="s">
        <v>997</v>
      </c>
      <c r="D36" s="24" t="s">
        <v>858</v>
      </c>
      <c r="E36" s="25" t="s">
        <v>998</v>
      </c>
    </row>
  </sheetData>
  <mergeCells count="6">
    <mergeCell ref="B34:B36"/>
    <mergeCell ref="B5:B13"/>
    <mergeCell ref="B16:B19"/>
    <mergeCell ref="B21:B23"/>
    <mergeCell ref="B25:B27"/>
    <mergeCell ref="B29:B32"/>
  </mergeCells>
  <pageMargins left="0.75" right="0.75" top="1" bottom="1" header="0.511811023622047" footer="0.511811023622047"/>
  <pageSetup paperSize="9" orientation="portrait" useFirstPageNumber="1"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14"/>
  <sheetViews>
    <sheetView zoomScaleNormal="100" workbookViewId="0"/>
  </sheetViews>
  <sheetFormatPr baseColWidth="10" defaultColWidth="8.6640625" defaultRowHeight="14.4" x14ac:dyDescent="0.3"/>
  <cols>
    <col min="1" max="1" width="1.5546875" customWidth="1"/>
    <col min="2" max="2" width="30" customWidth="1"/>
    <col min="3" max="3" width="90" customWidth="1"/>
  </cols>
  <sheetData>
    <row r="1" spans="2:3" ht="30" customHeight="1" x14ac:dyDescent="0.4">
      <c r="B1" s="13" t="s">
        <v>999</v>
      </c>
    </row>
    <row r="4" spans="2:3" ht="15" customHeight="1" x14ac:dyDescent="0.3">
      <c r="B4" s="5" t="s">
        <v>1000</v>
      </c>
      <c r="C4" s="5" t="s">
        <v>1001</v>
      </c>
    </row>
    <row r="5" spans="2:3" ht="31.5" customHeight="1" x14ac:dyDescent="0.3">
      <c r="B5" s="28" t="s">
        <v>5</v>
      </c>
      <c r="C5" s="29" t="s">
        <v>1002</v>
      </c>
    </row>
    <row r="6" spans="2:3" ht="70.5" customHeight="1" x14ac:dyDescent="0.3">
      <c r="B6" s="30" t="s">
        <v>6</v>
      </c>
      <c r="C6" s="8" t="s">
        <v>1003</v>
      </c>
    </row>
    <row r="7" spans="2:3" ht="70.5" customHeight="1" x14ac:dyDescent="0.3">
      <c r="B7" s="28" t="s">
        <v>7</v>
      </c>
      <c r="C7" s="29" t="s">
        <v>1004</v>
      </c>
    </row>
    <row r="8" spans="2:3" ht="57.75" customHeight="1" x14ac:dyDescent="0.3">
      <c r="B8" s="30" t="s">
        <v>8</v>
      </c>
      <c r="C8" s="8" t="s">
        <v>1005</v>
      </c>
    </row>
    <row r="9" spans="2:3" ht="18.75" customHeight="1" x14ac:dyDescent="0.3">
      <c r="B9" s="28" t="s">
        <v>9</v>
      </c>
      <c r="C9" s="29" t="s">
        <v>1006</v>
      </c>
    </row>
    <row r="10" spans="2:3" ht="45" customHeight="1" x14ac:dyDescent="0.3">
      <c r="B10" s="30" t="s">
        <v>1007</v>
      </c>
      <c r="C10" s="8" t="s">
        <v>1008</v>
      </c>
    </row>
    <row r="11" spans="2:3" ht="18.75" customHeight="1" x14ac:dyDescent="0.3">
      <c r="B11" s="28" t="s">
        <v>11</v>
      </c>
      <c r="C11" s="29" t="s">
        <v>1009</v>
      </c>
    </row>
    <row r="12" spans="2:3" ht="31.5" customHeight="1" x14ac:dyDescent="0.3">
      <c r="B12" s="30" t="s">
        <v>12</v>
      </c>
      <c r="C12" s="8" t="s">
        <v>1010</v>
      </c>
    </row>
    <row r="13" spans="2:3" ht="31.5" customHeight="1" x14ac:dyDescent="0.3">
      <c r="B13" s="28" t="s">
        <v>13</v>
      </c>
      <c r="C13" s="29" t="s">
        <v>1011</v>
      </c>
    </row>
    <row r="14" spans="2:3" ht="18" customHeight="1" x14ac:dyDescent="0.3">
      <c r="B14" s="30" t="s">
        <v>14</v>
      </c>
      <c r="C14" s="8" t="s">
        <v>1012</v>
      </c>
    </row>
  </sheetData>
  <pageMargins left="0.75" right="0.75" top="1" bottom="1" header="0.511811023622047" footer="0.511811023622047"/>
  <pageSetup paperSize="9" orientation="portrait" useFirstPageNumber="1"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76"/>
  <sheetViews>
    <sheetView zoomScaleNormal="100" workbookViewId="0">
      <pane ySplit="4" topLeftCell="A5" activePane="bottomLeft" state="frozen"/>
      <selection pane="bottomLeft"/>
    </sheetView>
  </sheetViews>
  <sheetFormatPr baseColWidth="10" defaultColWidth="8.88671875" defaultRowHeight="14.4" x14ac:dyDescent="0.3"/>
  <cols>
    <col min="1" max="1" width="1.44140625" customWidth="1"/>
    <col min="2" max="2" width="34" customWidth="1"/>
    <col min="3" max="4" width="10" customWidth="1"/>
    <col min="5" max="5" width="26" customWidth="1"/>
    <col min="6" max="6" width="40" customWidth="1"/>
    <col min="7" max="7" width="36" customWidth="1"/>
    <col min="8" max="9" width="44" customWidth="1"/>
    <col min="10" max="10" width="18" customWidth="1"/>
    <col min="11" max="11" width="40" customWidth="1"/>
    <col min="12" max="12" width="16" customWidth="1"/>
    <col min="13" max="13" width="13" customWidth="1"/>
    <col min="14" max="14" width="40" customWidth="1"/>
  </cols>
  <sheetData>
    <row r="1" spans="2:14" ht="17.399999999999999" x14ac:dyDescent="0.3">
      <c r="B1" s="31" t="s">
        <v>1013</v>
      </c>
    </row>
    <row r="2" spans="2:14" ht="28.05" customHeight="1" x14ac:dyDescent="0.3">
      <c r="B2" s="65" t="s">
        <v>1014</v>
      </c>
      <c r="C2" s="65"/>
      <c r="D2" s="65"/>
      <c r="E2" s="65"/>
      <c r="F2" s="65"/>
      <c r="G2" s="65"/>
      <c r="H2" s="65"/>
      <c r="I2" s="65"/>
      <c r="J2" s="65"/>
      <c r="K2" s="65"/>
      <c r="L2" s="65"/>
      <c r="M2" s="65"/>
      <c r="N2" s="65"/>
    </row>
    <row r="4" spans="2:14" ht="31.95" customHeight="1" x14ac:dyDescent="0.3">
      <c r="B4" s="32" t="s">
        <v>1015</v>
      </c>
      <c r="C4" s="32" t="s">
        <v>1016</v>
      </c>
      <c r="D4" s="32" t="s">
        <v>1017</v>
      </c>
      <c r="E4" s="32" t="s">
        <v>1018</v>
      </c>
      <c r="F4" s="32" t="s">
        <v>926</v>
      </c>
      <c r="G4" s="32" t="s">
        <v>1019</v>
      </c>
      <c r="H4" s="32" t="s">
        <v>1020</v>
      </c>
      <c r="I4" s="32" t="s">
        <v>1021</v>
      </c>
      <c r="J4" s="32" t="s">
        <v>1022</v>
      </c>
      <c r="K4" s="32" t="s">
        <v>1023</v>
      </c>
      <c r="L4" s="32" t="s">
        <v>1024</v>
      </c>
      <c r="M4" s="32" t="s">
        <v>1025</v>
      </c>
      <c r="N4" s="32" t="s">
        <v>1026</v>
      </c>
    </row>
    <row r="5" spans="2:14" ht="60" customHeight="1" x14ac:dyDescent="0.3">
      <c r="B5" s="33" t="s">
        <v>1027</v>
      </c>
      <c r="C5" s="34" t="s">
        <v>16</v>
      </c>
      <c r="D5" s="34">
        <v>1</v>
      </c>
      <c r="E5" s="35" t="s">
        <v>20</v>
      </c>
      <c r="F5" s="35" t="s">
        <v>1028</v>
      </c>
      <c r="G5" s="35" t="s">
        <v>1029</v>
      </c>
      <c r="H5" s="35" t="s">
        <v>1030</v>
      </c>
      <c r="I5" s="35" t="s">
        <v>23</v>
      </c>
      <c r="J5" s="35" t="s">
        <v>1031</v>
      </c>
      <c r="K5" s="35" t="s">
        <v>1032</v>
      </c>
      <c r="L5" s="36" t="s">
        <v>1033</v>
      </c>
      <c r="M5" s="37">
        <v>46281</v>
      </c>
      <c r="N5" s="35" t="s">
        <v>1034</v>
      </c>
    </row>
    <row r="6" spans="2:14" ht="60" customHeight="1" x14ac:dyDescent="0.3">
      <c r="B6" s="38" t="s">
        <v>1035</v>
      </c>
      <c r="C6" s="39" t="s">
        <v>16</v>
      </c>
      <c r="D6" s="39">
        <v>2</v>
      </c>
      <c r="E6" s="40" t="s">
        <v>24</v>
      </c>
      <c r="F6" s="40" t="s">
        <v>1036</v>
      </c>
      <c r="G6" s="40" t="s">
        <v>1037</v>
      </c>
      <c r="H6" s="40" t="s">
        <v>1038</v>
      </c>
      <c r="I6" s="40" t="s">
        <v>27</v>
      </c>
      <c r="J6" s="40" t="s">
        <v>1031</v>
      </c>
      <c r="K6" s="40" t="s">
        <v>1032</v>
      </c>
      <c r="L6" s="41" t="s">
        <v>1033</v>
      </c>
      <c r="M6" s="42">
        <v>46281</v>
      </c>
      <c r="N6" s="40" t="s">
        <v>1034</v>
      </c>
    </row>
    <row r="7" spans="2:14" ht="60" customHeight="1" x14ac:dyDescent="0.3">
      <c r="B7" s="33" t="s">
        <v>1039</v>
      </c>
      <c r="C7" s="34" t="s">
        <v>16</v>
      </c>
      <c r="D7" s="34">
        <v>3</v>
      </c>
      <c r="E7" s="35" t="s">
        <v>28</v>
      </c>
      <c r="F7" s="35" t="s">
        <v>1040</v>
      </c>
      <c r="G7" s="35" t="s">
        <v>1041</v>
      </c>
      <c r="H7" s="35" t="s">
        <v>1038</v>
      </c>
      <c r="I7" s="35" t="s">
        <v>30</v>
      </c>
      <c r="J7" s="35" t="s">
        <v>1031</v>
      </c>
      <c r="K7" s="35" t="s">
        <v>1032</v>
      </c>
      <c r="L7" s="36" t="s">
        <v>1033</v>
      </c>
      <c r="M7" s="37">
        <v>46281</v>
      </c>
      <c r="N7" s="35" t="s">
        <v>1034</v>
      </c>
    </row>
    <row r="8" spans="2:14" ht="64.95" customHeight="1" x14ac:dyDescent="0.3">
      <c r="B8" s="38" t="s">
        <v>1042</v>
      </c>
      <c r="C8" s="39" t="s">
        <v>31</v>
      </c>
      <c r="D8" s="39">
        <v>1</v>
      </c>
      <c r="E8" s="40" t="s">
        <v>35</v>
      </c>
      <c r="F8" s="40" t="s">
        <v>1043</v>
      </c>
      <c r="G8" s="40" t="s">
        <v>1044</v>
      </c>
      <c r="H8" s="40" t="s">
        <v>1045</v>
      </c>
      <c r="I8" s="40" t="s">
        <v>38</v>
      </c>
      <c r="J8" s="40" t="s">
        <v>1046</v>
      </c>
      <c r="K8" s="40" t="s">
        <v>1047</v>
      </c>
      <c r="L8" s="41" t="s">
        <v>1033</v>
      </c>
      <c r="M8" s="42">
        <v>46281</v>
      </c>
      <c r="N8" s="40" t="s">
        <v>1034</v>
      </c>
    </row>
    <row r="9" spans="2:14" ht="64.95" customHeight="1" x14ac:dyDescent="0.3">
      <c r="B9" s="33" t="s">
        <v>1048</v>
      </c>
      <c r="C9" s="34" t="s">
        <v>31</v>
      </c>
      <c r="D9" s="34">
        <v>2</v>
      </c>
      <c r="E9" s="35" t="s">
        <v>39</v>
      </c>
      <c r="F9" s="35" t="s">
        <v>1049</v>
      </c>
      <c r="G9" s="35" t="s">
        <v>1050</v>
      </c>
      <c r="H9" s="35" t="s">
        <v>1051</v>
      </c>
      <c r="I9" s="35" t="s">
        <v>42</v>
      </c>
      <c r="J9" s="35" t="s">
        <v>1046</v>
      </c>
      <c r="K9" s="35" t="s">
        <v>1052</v>
      </c>
      <c r="L9" s="36" t="s">
        <v>1033</v>
      </c>
      <c r="M9" s="37">
        <v>46281</v>
      </c>
      <c r="N9" s="35" t="s">
        <v>1034</v>
      </c>
    </row>
    <row r="10" spans="2:14" ht="64.95" customHeight="1" x14ac:dyDescent="0.3">
      <c r="B10" s="38" t="s">
        <v>1053</v>
      </c>
      <c r="C10" s="39" t="s">
        <v>31</v>
      </c>
      <c r="D10" s="39">
        <v>3</v>
      </c>
      <c r="E10" s="40" t="s">
        <v>43</v>
      </c>
      <c r="F10" s="40" t="s">
        <v>1054</v>
      </c>
      <c r="G10" s="40" t="s">
        <v>1055</v>
      </c>
      <c r="H10" s="40" t="s">
        <v>1056</v>
      </c>
      <c r="I10" s="40" t="s">
        <v>46</v>
      </c>
      <c r="J10" s="40" t="s">
        <v>1046</v>
      </c>
      <c r="K10" s="40" t="s">
        <v>1052</v>
      </c>
      <c r="L10" s="41" t="s">
        <v>1033</v>
      </c>
      <c r="M10" s="42">
        <v>46281</v>
      </c>
      <c r="N10" s="40" t="s">
        <v>1034</v>
      </c>
    </row>
    <row r="11" spans="2:14" ht="64.95" customHeight="1" x14ac:dyDescent="0.3">
      <c r="B11" s="33" t="s">
        <v>1057</v>
      </c>
      <c r="C11" s="34" t="s">
        <v>47</v>
      </c>
      <c r="D11" s="34">
        <v>1</v>
      </c>
      <c r="E11" s="35" t="s">
        <v>50</v>
      </c>
      <c r="F11" s="35" t="s">
        <v>1058</v>
      </c>
      <c r="G11" s="35" t="s">
        <v>1059</v>
      </c>
      <c r="H11" s="35" t="s">
        <v>1060</v>
      </c>
      <c r="I11" s="35" t="s">
        <v>53</v>
      </c>
      <c r="J11" s="35" t="s">
        <v>1046</v>
      </c>
      <c r="K11" s="35" t="s">
        <v>1061</v>
      </c>
      <c r="L11" s="36" t="s">
        <v>1033</v>
      </c>
      <c r="M11" s="37">
        <v>46281</v>
      </c>
      <c r="N11" s="35" t="s">
        <v>1034</v>
      </c>
    </row>
    <row r="12" spans="2:14" ht="64.95" customHeight="1" x14ac:dyDescent="0.3">
      <c r="B12" s="38" t="s">
        <v>1062</v>
      </c>
      <c r="C12" s="39" t="s">
        <v>47</v>
      </c>
      <c r="D12" s="39">
        <v>2</v>
      </c>
      <c r="E12" s="40" t="s">
        <v>54</v>
      </c>
      <c r="F12" s="40" t="s">
        <v>1063</v>
      </c>
      <c r="G12" s="40" t="s">
        <v>1064</v>
      </c>
      <c r="H12" s="40" t="s">
        <v>1060</v>
      </c>
      <c r="I12" s="40" t="s">
        <v>56</v>
      </c>
      <c r="J12" s="40" t="s">
        <v>1046</v>
      </c>
      <c r="K12" s="40" t="s">
        <v>1061</v>
      </c>
      <c r="L12" s="41" t="s">
        <v>1033</v>
      </c>
      <c r="M12" s="42">
        <v>46281</v>
      </c>
      <c r="N12" s="40" t="s">
        <v>1034</v>
      </c>
    </row>
    <row r="13" spans="2:14" ht="64.95" customHeight="1" x14ac:dyDescent="0.3">
      <c r="B13" s="33" t="s">
        <v>1065</v>
      </c>
      <c r="C13" s="34" t="s">
        <v>47</v>
      </c>
      <c r="D13" s="34">
        <v>3</v>
      </c>
      <c r="E13" s="35" t="s">
        <v>57</v>
      </c>
      <c r="F13" s="35" t="s">
        <v>1066</v>
      </c>
      <c r="G13" s="35" t="s">
        <v>1067</v>
      </c>
      <c r="H13" s="35" t="s">
        <v>1060</v>
      </c>
      <c r="I13" s="35" t="s">
        <v>59</v>
      </c>
      <c r="J13" s="35" t="s">
        <v>1046</v>
      </c>
      <c r="K13" s="35" t="s">
        <v>1068</v>
      </c>
      <c r="L13" s="36" t="s">
        <v>1033</v>
      </c>
      <c r="M13" s="37">
        <v>46281</v>
      </c>
      <c r="N13" s="35" t="s">
        <v>1034</v>
      </c>
    </row>
    <row r="14" spans="2:14" ht="64.95" customHeight="1" x14ac:dyDescent="0.3">
      <c r="B14" s="38" t="s">
        <v>1069</v>
      </c>
      <c r="C14" s="39" t="s">
        <v>60</v>
      </c>
      <c r="D14" s="39">
        <v>1</v>
      </c>
      <c r="E14" s="40" t="s">
        <v>63</v>
      </c>
      <c r="F14" s="40" t="s">
        <v>1070</v>
      </c>
      <c r="G14" s="40" t="s">
        <v>1071</v>
      </c>
      <c r="H14" s="40" t="s">
        <v>1072</v>
      </c>
      <c r="I14" s="40" t="s">
        <v>66</v>
      </c>
      <c r="J14" s="40" t="s">
        <v>1046</v>
      </c>
      <c r="K14" s="40" t="s">
        <v>1073</v>
      </c>
      <c r="L14" s="41" t="s">
        <v>1033</v>
      </c>
      <c r="M14" s="42">
        <v>46281</v>
      </c>
      <c r="N14" s="40" t="s">
        <v>1034</v>
      </c>
    </row>
    <row r="15" spans="2:14" ht="64.95" customHeight="1" x14ac:dyDescent="0.3">
      <c r="B15" s="33" t="s">
        <v>1074</v>
      </c>
      <c r="C15" s="34" t="s">
        <v>60</v>
      </c>
      <c r="D15" s="34">
        <v>2</v>
      </c>
      <c r="E15" s="35" t="s">
        <v>67</v>
      </c>
      <c r="F15" s="35" t="s">
        <v>1075</v>
      </c>
      <c r="G15" s="35" t="s">
        <v>1076</v>
      </c>
      <c r="H15" s="35" t="s">
        <v>1072</v>
      </c>
      <c r="I15" s="35" t="s">
        <v>69</v>
      </c>
      <c r="J15" s="35" t="s">
        <v>1046</v>
      </c>
      <c r="K15" s="35" t="s">
        <v>1073</v>
      </c>
      <c r="L15" s="36" t="s">
        <v>1033</v>
      </c>
      <c r="M15" s="37">
        <v>46281</v>
      </c>
      <c r="N15" s="35" t="s">
        <v>1034</v>
      </c>
    </row>
    <row r="16" spans="2:14" ht="64.95" customHeight="1" x14ac:dyDescent="0.3">
      <c r="B16" s="38" t="s">
        <v>1077</v>
      </c>
      <c r="C16" s="39" t="s">
        <v>60</v>
      </c>
      <c r="D16" s="39">
        <v>3</v>
      </c>
      <c r="E16" s="40" t="s">
        <v>70</v>
      </c>
      <c r="F16" s="40" t="s">
        <v>1078</v>
      </c>
      <c r="G16" s="40" t="s">
        <v>1079</v>
      </c>
      <c r="H16" s="40" t="s">
        <v>1072</v>
      </c>
      <c r="I16" s="40" t="s">
        <v>72</v>
      </c>
      <c r="J16" s="40" t="s">
        <v>1046</v>
      </c>
      <c r="K16" s="40" t="s">
        <v>1073</v>
      </c>
      <c r="L16" s="41" t="s">
        <v>1033</v>
      </c>
      <c r="M16" s="42">
        <v>46281</v>
      </c>
      <c r="N16" s="40" t="s">
        <v>1034</v>
      </c>
    </row>
    <row r="17" spans="2:14" ht="64.95" customHeight="1" x14ac:dyDescent="0.3">
      <c r="B17" s="33" t="s">
        <v>1080</v>
      </c>
      <c r="C17" s="34" t="s">
        <v>73</v>
      </c>
      <c r="D17" s="34">
        <v>1</v>
      </c>
      <c r="E17" s="35" t="s">
        <v>77</v>
      </c>
      <c r="F17" s="35" t="s">
        <v>1081</v>
      </c>
      <c r="G17" s="35" t="s">
        <v>1082</v>
      </c>
      <c r="H17" s="35" t="s">
        <v>1083</v>
      </c>
      <c r="I17" s="35" t="s">
        <v>79</v>
      </c>
      <c r="J17" s="35" t="s">
        <v>1046</v>
      </c>
      <c r="K17" s="35" t="s">
        <v>1084</v>
      </c>
      <c r="L17" s="36" t="s">
        <v>1033</v>
      </c>
      <c r="M17" s="37">
        <v>46281</v>
      </c>
      <c r="N17" s="35" t="s">
        <v>1034</v>
      </c>
    </row>
    <row r="18" spans="2:14" ht="64.95" customHeight="1" x14ac:dyDescent="0.3">
      <c r="B18" s="38" t="s">
        <v>1085</v>
      </c>
      <c r="C18" s="39" t="s">
        <v>73</v>
      </c>
      <c r="D18" s="39">
        <v>2</v>
      </c>
      <c r="E18" s="40" t="s">
        <v>80</v>
      </c>
      <c r="F18" s="40" t="s">
        <v>1086</v>
      </c>
      <c r="G18" s="40" t="s">
        <v>1087</v>
      </c>
      <c r="H18" s="40" t="s">
        <v>1088</v>
      </c>
      <c r="I18" s="40" t="s">
        <v>83</v>
      </c>
      <c r="J18" s="40" t="s">
        <v>1046</v>
      </c>
      <c r="K18" s="40" t="s">
        <v>1089</v>
      </c>
      <c r="L18" s="41" t="s">
        <v>1033</v>
      </c>
      <c r="M18" s="42">
        <v>46281</v>
      </c>
      <c r="N18" s="40" t="s">
        <v>1034</v>
      </c>
    </row>
    <row r="19" spans="2:14" ht="60" customHeight="1" x14ac:dyDescent="0.3">
      <c r="B19" s="33" t="s">
        <v>1090</v>
      </c>
      <c r="C19" s="34" t="s">
        <v>73</v>
      </c>
      <c r="D19" s="34">
        <v>3</v>
      </c>
      <c r="E19" s="35" t="s">
        <v>84</v>
      </c>
      <c r="F19" s="35" t="s">
        <v>1091</v>
      </c>
      <c r="G19" s="35" t="s">
        <v>1092</v>
      </c>
      <c r="H19" s="35" t="s">
        <v>1093</v>
      </c>
      <c r="I19" s="35" t="s">
        <v>87</v>
      </c>
      <c r="J19" s="35" t="s">
        <v>1046</v>
      </c>
      <c r="K19" s="35" t="s">
        <v>1089</v>
      </c>
      <c r="L19" s="36" t="s">
        <v>1033</v>
      </c>
      <c r="M19" s="37">
        <v>46281</v>
      </c>
      <c r="N19" s="35" t="s">
        <v>1034</v>
      </c>
    </row>
    <row r="20" spans="2:14" ht="64.95" customHeight="1" x14ac:dyDescent="0.3">
      <c r="B20" s="38" t="s">
        <v>1094</v>
      </c>
      <c r="C20" s="39" t="s">
        <v>88</v>
      </c>
      <c r="D20" s="39">
        <v>1</v>
      </c>
      <c r="E20" s="40" t="s">
        <v>91</v>
      </c>
      <c r="F20" s="40" t="s">
        <v>1095</v>
      </c>
      <c r="G20" s="40" t="s">
        <v>1096</v>
      </c>
      <c r="H20" s="40" t="s">
        <v>1097</v>
      </c>
      <c r="I20" s="40" t="s">
        <v>93</v>
      </c>
      <c r="J20" s="40" t="s">
        <v>1046</v>
      </c>
      <c r="K20" s="40" t="s">
        <v>1098</v>
      </c>
      <c r="L20" s="41" t="s">
        <v>1033</v>
      </c>
      <c r="M20" s="42">
        <v>46281</v>
      </c>
      <c r="N20" s="40" t="s">
        <v>1034</v>
      </c>
    </row>
    <row r="21" spans="2:14" ht="64.95" customHeight="1" x14ac:dyDescent="0.3">
      <c r="B21" s="33" t="s">
        <v>1099</v>
      </c>
      <c r="C21" s="34" t="s">
        <v>88</v>
      </c>
      <c r="D21" s="34">
        <v>2</v>
      </c>
      <c r="E21" s="35" t="s">
        <v>94</v>
      </c>
      <c r="F21" s="35" t="s">
        <v>1100</v>
      </c>
      <c r="G21" s="35" t="s">
        <v>1101</v>
      </c>
      <c r="H21" s="35" t="s">
        <v>1097</v>
      </c>
      <c r="I21" s="35" t="s">
        <v>96</v>
      </c>
      <c r="J21" s="35" t="s">
        <v>1046</v>
      </c>
      <c r="K21" s="35" t="s">
        <v>1098</v>
      </c>
      <c r="L21" s="36" t="s">
        <v>1033</v>
      </c>
      <c r="M21" s="37">
        <v>46281</v>
      </c>
      <c r="N21" s="35" t="s">
        <v>1034</v>
      </c>
    </row>
    <row r="22" spans="2:14" ht="64.95" customHeight="1" x14ac:dyDescent="0.3">
      <c r="B22" s="38" t="s">
        <v>1102</v>
      </c>
      <c r="C22" s="39" t="s">
        <v>88</v>
      </c>
      <c r="D22" s="39">
        <v>3</v>
      </c>
      <c r="E22" s="40" t="s">
        <v>97</v>
      </c>
      <c r="F22" s="40" t="s">
        <v>1103</v>
      </c>
      <c r="G22" s="40" t="s">
        <v>1104</v>
      </c>
      <c r="H22" s="40" t="s">
        <v>1097</v>
      </c>
      <c r="I22" s="40" t="s">
        <v>99</v>
      </c>
      <c r="J22" s="40" t="s">
        <v>1046</v>
      </c>
      <c r="K22" s="40" t="s">
        <v>1068</v>
      </c>
      <c r="L22" s="41" t="s">
        <v>1033</v>
      </c>
      <c r="M22" s="42">
        <v>46281</v>
      </c>
      <c r="N22" s="40" t="s">
        <v>1034</v>
      </c>
    </row>
    <row r="23" spans="2:14" ht="64.95" customHeight="1" x14ac:dyDescent="0.3">
      <c r="B23" s="33" t="s">
        <v>1105</v>
      </c>
      <c r="C23" s="34" t="s">
        <v>100</v>
      </c>
      <c r="D23" s="34">
        <v>1</v>
      </c>
      <c r="E23" s="35" t="s">
        <v>104</v>
      </c>
      <c r="F23" s="35" t="s">
        <v>1106</v>
      </c>
      <c r="G23" s="35" t="s">
        <v>1107</v>
      </c>
      <c r="H23" s="35" t="s">
        <v>1108</v>
      </c>
      <c r="I23" s="35" t="s">
        <v>106</v>
      </c>
      <c r="J23" s="35" t="s">
        <v>1046</v>
      </c>
      <c r="K23" s="35" t="s">
        <v>1109</v>
      </c>
      <c r="L23" s="36" t="s">
        <v>1033</v>
      </c>
      <c r="M23" s="37">
        <v>46281</v>
      </c>
      <c r="N23" s="35" t="s">
        <v>1034</v>
      </c>
    </row>
    <row r="24" spans="2:14" ht="64.95" customHeight="1" x14ac:dyDescent="0.3">
      <c r="B24" s="38" t="s">
        <v>1110</v>
      </c>
      <c r="C24" s="39" t="s">
        <v>100</v>
      </c>
      <c r="D24" s="39">
        <v>2</v>
      </c>
      <c r="E24" s="40" t="s">
        <v>107</v>
      </c>
      <c r="F24" s="40" t="s">
        <v>1111</v>
      </c>
      <c r="G24" s="40" t="s">
        <v>1112</v>
      </c>
      <c r="H24" s="40" t="s">
        <v>1113</v>
      </c>
      <c r="I24" s="40" t="s">
        <v>110</v>
      </c>
      <c r="J24" s="40" t="s">
        <v>1046</v>
      </c>
      <c r="K24" s="40" t="s">
        <v>1114</v>
      </c>
      <c r="L24" s="41" t="s">
        <v>1033</v>
      </c>
      <c r="M24" s="42">
        <v>46281</v>
      </c>
      <c r="N24" s="40" t="s">
        <v>1034</v>
      </c>
    </row>
    <row r="25" spans="2:14" ht="64.95" customHeight="1" x14ac:dyDescent="0.3">
      <c r="B25" s="33" t="s">
        <v>1115</v>
      </c>
      <c r="C25" s="34" t="s">
        <v>100</v>
      </c>
      <c r="D25" s="34">
        <v>3</v>
      </c>
      <c r="E25" s="35" t="s">
        <v>111</v>
      </c>
      <c r="F25" s="35" t="s">
        <v>1116</v>
      </c>
      <c r="G25" s="35" t="s">
        <v>1117</v>
      </c>
      <c r="H25" s="35" t="s">
        <v>1118</v>
      </c>
      <c r="I25" s="35" t="s">
        <v>114</v>
      </c>
      <c r="J25" s="35" t="s">
        <v>1046</v>
      </c>
      <c r="K25" s="35" t="s">
        <v>1114</v>
      </c>
      <c r="L25" s="36" t="s">
        <v>1033</v>
      </c>
      <c r="M25" s="37">
        <v>46281</v>
      </c>
      <c r="N25" s="35" t="s">
        <v>1034</v>
      </c>
    </row>
    <row r="26" spans="2:14" ht="64.95" customHeight="1" x14ac:dyDescent="0.3">
      <c r="B26" s="38" t="s">
        <v>1119</v>
      </c>
      <c r="C26" s="39" t="s">
        <v>115</v>
      </c>
      <c r="D26" s="39">
        <v>1</v>
      </c>
      <c r="E26" s="40" t="s">
        <v>118</v>
      </c>
      <c r="F26" s="40" t="s">
        <v>1120</v>
      </c>
      <c r="G26" s="40" t="s">
        <v>1121</v>
      </c>
      <c r="H26" s="40" t="s">
        <v>1122</v>
      </c>
      <c r="I26" s="40" t="s">
        <v>121</v>
      </c>
      <c r="J26" s="40" t="s">
        <v>1046</v>
      </c>
      <c r="K26" s="40" t="s">
        <v>1123</v>
      </c>
      <c r="L26" s="41" t="s">
        <v>1033</v>
      </c>
      <c r="M26" s="42">
        <v>46281</v>
      </c>
      <c r="N26" s="40" t="s">
        <v>1034</v>
      </c>
    </row>
    <row r="27" spans="2:14" ht="64.95" customHeight="1" x14ac:dyDescent="0.3">
      <c r="B27" s="33" t="s">
        <v>1124</v>
      </c>
      <c r="C27" s="34" t="s">
        <v>115</v>
      </c>
      <c r="D27" s="34">
        <v>2</v>
      </c>
      <c r="E27" s="35" t="s">
        <v>122</v>
      </c>
      <c r="F27" s="35" t="s">
        <v>1125</v>
      </c>
      <c r="G27" s="35" t="s">
        <v>1126</v>
      </c>
      <c r="H27" s="35" t="s">
        <v>1127</v>
      </c>
      <c r="I27" s="35" t="s">
        <v>125</v>
      </c>
      <c r="J27" s="35" t="s">
        <v>1046</v>
      </c>
      <c r="K27" s="35" t="s">
        <v>1068</v>
      </c>
      <c r="L27" s="36" t="s">
        <v>1033</v>
      </c>
      <c r="M27" s="37">
        <v>46281</v>
      </c>
      <c r="N27" s="35" t="s">
        <v>1034</v>
      </c>
    </row>
    <row r="28" spans="2:14" ht="64.95" customHeight="1" x14ac:dyDescent="0.3">
      <c r="B28" s="38" t="s">
        <v>1128</v>
      </c>
      <c r="C28" s="39" t="s">
        <v>115</v>
      </c>
      <c r="D28" s="39">
        <v>3</v>
      </c>
      <c r="E28" s="40" t="s">
        <v>126</v>
      </c>
      <c r="F28" s="40" t="s">
        <v>1129</v>
      </c>
      <c r="G28" s="40" t="s">
        <v>1130</v>
      </c>
      <c r="H28" s="40" t="s">
        <v>1131</v>
      </c>
      <c r="I28" s="40" t="s">
        <v>129</v>
      </c>
      <c r="J28" s="40" t="s">
        <v>1046</v>
      </c>
      <c r="K28" s="40" t="s">
        <v>1123</v>
      </c>
      <c r="L28" s="41" t="s">
        <v>1033</v>
      </c>
      <c r="M28" s="42">
        <v>46281</v>
      </c>
      <c r="N28" s="40" t="s">
        <v>1034</v>
      </c>
    </row>
    <row r="29" spans="2:14" ht="64.95" customHeight="1" x14ac:dyDescent="0.3">
      <c r="B29" s="33" t="s">
        <v>1132</v>
      </c>
      <c r="C29" s="34" t="s">
        <v>130</v>
      </c>
      <c r="D29" s="34">
        <v>1</v>
      </c>
      <c r="E29" s="35" t="s">
        <v>133</v>
      </c>
      <c r="F29" s="35" t="s">
        <v>1133</v>
      </c>
      <c r="G29" s="35" t="s">
        <v>1134</v>
      </c>
      <c r="H29" s="35" t="s">
        <v>1135</v>
      </c>
      <c r="I29" s="35" t="s">
        <v>136</v>
      </c>
      <c r="J29" s="35" t="s">
        <v>1046</v>
      </c>
      <c r="K29" s="35" t="s">
        <v>1136</v>
      </c>
      <c r="L29" s="36" t="s">
        <v>1033</v>
      </c>
      <c r="M29" s="37">
        <v>46281</v>
      </c>
      <c r="N29" s="35" t="s">
        <v>1034</v>
      </c>
    </row>
    <row r="30" spans="2:14" ht="64.95" customHeight="1" x14ac:dyDescent="0.3">
      <c r="B30" s="38" t="s">
        <v>1137</v>
      </c>
      <c r="C30" s="39" t="s">
        <v>130</v>
      </c>
      <c r="D30" s="39">
        <v>2</v>
      </c>
      <c r="E30" s="40" t="s">
        <v>137</v>
      </c>
      <c r="F30" s="40" t="s">
        <v>1138</v>
      </c>
      <c r="G30" s="40" t="s">
        <v>1139</v>
      </c>
      <c r="H30" s="40" t="s">
        <v>1140</v>
      </c>
      <c r="I30" s="40" t="s">
        <v>140</v>
      </c>
      <c r="J30" s="40" t="s">
        <v>1046</v>
      </c>
      <c r="K30" s="40" t="s">
        <v>1136</v>
      </c>
      <c r="L30" s="41" t="s">
        <v>1033</v>
      </c>
      <c r="M30" s="42">
        <v>46281</v>
      </c>
      <c r="N30" s="40" t="s">
        <v>1034</v>
      </c>
    </row>
    <row r="31" spans="2:14" ht="64.95" customHeight="1" x14ac:dyDescent="0.3">
      <c r="B31" s="33" t="s">
        <v>1141</v>
      </c>
      <c r="C31" s="34" t="s">
        <v>130</v>
      </c>
      <c r="D31" s="34">
        <v>3</v>
      </c>
      <c r="E31" s="35" t="s">
        <v>141</v>
      </c>
      <c r="F31" s="35" t="s">
        <v>1142</v>
      </c>
      <c r="G31" s="35" t="s">
        <v>1143</v>
      </c>
      <c r="H31" s="35" t="s">
        <v>1144</v>
      </c>
      <c r="I31" s="35" t="s">
        <v>144</v>
      </c>
      <c r="J31" s="35" t="s">
        <v>1046</v>
      </c>
      <c r="K31" s="35" t="s">
        <v>1136</v>
      </c>
      <c r="L31" s="36" t="s">
        <v>1033</v>
      </c>
      <c r="M31" s="37">
        <v>46281</v>
      </c>
      <c r="N31" s="35" t="s">
        <v>1034</v>
      </c>
    </row>
    <row r="32" spans="2:14" ht="64.95" customHeight="1" x14ac:dyDescent="0.3">
      <c r="B32" s="38" t="s">
        <v>1145</v>
      </c>
      <c r="C32" s="39" t="s">
        <v>145</v>
      </c>
      <c r="D32" s="39">
        <v>1</v>
      </c>
      <c r="E32" s="40" t="s">
        <v>148</v>
      </c>
      <c r="F32" s="40" t="s">
        <v>1146</v>
      </c>
      <c r="G32" s="40" t="s">
        <v>1147</v>
      </c>
      <c r="H32" s="40" t="s">
        <v>1148</v>
      </c>
      <c r="I32" s="40" t="s">
        <v>151</v>
      </c>
      <c r="J32" s="40" t="s">
        <v>1046</v>
      </c>
      <c r="K32" s="40" t="s">
        <v>1149</v>
      </c>
      <c r="L32" s="41" t="s">
        <v>1033</v>
      </c>
      <c r="M32" s="42">
        <v>46281</v>
      </c>
      <c r="N32" s="40" t="s">
        <v>1034</v>
      </c>
    </row>
    <row r="33" spans="2:14" ht="64.95" customHeight="1" x14ac:dyDescent="0.3">
      <c r="B33" s="33" t="s">
        <v>1150</v>
      </c>
      <c r="C33" s="34" t="s">
        <v>145</v>
      </c>
      <c r="D33" s="34">
        <v>2</v>
      </c>
      <c r="E33" s="35" t="s">
        <v>152</v>
      </c>
      <c r="F33" s="35" t="s">
        <v>1151</v>
      </c>
      <c r="G33" s="35" t="s">
        <v>1152</v>
      </c>
      <c r="H33" s="35" t="s">
        <v>1153</v>
      </c>
      <c r="I33" s="35" t="s">
        <v>155</v>
      </c>
      <c r="J33" s="35" t="s">
        <v>1046</v>
      </c>
      <c r="K33" s="35" t="s">
        <v>1149</v>
      </c>
      <c r="L33" s="36" t="s">
        <v>1033</v>
      </c>
      <c r="M33" s="37">
        <v>46281</v>
      </c>
      <c r="N33" s="35" t="s">
        <v>1034</v>
      </c>
    </row>
    <row r="34" spans="2:14" ht="64.95" customHeight="1" x14ac:dyDescent="0.3">
      <c r="B34" s="38" t="s">
        <v>1154</v>
      </c>
      <c r="C34" s="39" t="s">
        <v>145</v>
      </c>
      <c r="D34" s="39">
        <v>3</v>
      </c>
      <c r="E34" s="40" t="s">
        <v>156</v>
      </c>
      <c r="F34" s="40" t="s">
        <v>1155</v>
      </c>
      <c r="G34" s="40" t="s">
        <v>1156</v>
      </c>
      <c r="H34" s="40" t="s">
        <v>1157</v>
      </c>
      <c r="I34" s="40" t="s">
        <v>159</v>
      </c>
      <c r="J34" s="40" t="s">
        <v>1046</v>
      </c>
      <c r="K34" s="40" t="s">
        <v>1149</v>
      </c>
      <c r="L34" s="41" t="s">
        <v>1033</v>
      </c>
      <c r="M34" s="42">
        <v>46281</v>
      </c>
      <c r="N34" s="40" t="s">
        <v>1034</v>
      </c>
    </row>
    <row r="35" spans="2:14" ht="60" customHeight="1" x14ac:dyDescent="0.3">
      <c r="B35" s="33" t="s">
        <v>1158</v>
      </c>
      <c r="C35" s="34" t="s">
        <v>160</v>
      </c>
      <c r="D35" s="34">
        <v>1</v>
      </c>
      <c r="E35" s="35" t="s">
        <v>164</v>
      </c>
      <c r="F35" s="35" t="s">
        <v>1159</v>
      </c>
      <c r="G35" s="35" t="s">
        <v>1160</v>
      </c>
      <c r="H35" s="35" t="s">
        <v>1161</v>
      </c>
      <c r="I35" s="35" t="s">
        <v>167</v>
      </c>
      <c r="J35" s="35" t="s">
        <v>1046</v>
      </c>
      <c r="K35" s="35" t="s">
        <v>1162</v>
      </c>
      <c r="L35" s="36" t="s">
        <v>1033</v>
      </c>
      <c r="M35" s="37">
        <v>46281</v>
      </c>
      <c r="N35" s="35" t="s">
        <v>1034</v>
      </c>
    </row>
    <row r="36" spans="2:14" ht="60" customHeight="1" x14ac:dyDescent="0.3">
      <c r="B36" s="38" t="s">
        <v>1163</v>
      </c>
      <c r="C36" s="39" t="s">
        <v>160</v>
      </c>
      <c r="D36" s="39">
        <v>2</v>
      </c>
      <c r="E36" s="40" t="s">
        <v>168</v>
      </c>
      <c r="F36" s="40" t="s">
        <v>1164</v>
      </c>
      <c r="G36" s="40" t="s">
        <v>1165</v>
      </c>
      <c r="H36" s="40" t="s">
        <v>1166</v>
      </c>
      <c r="I36" s="40" t="s">
        <v>171</v>
      </c>
      <c r="J36" s="40" t="s">
        <v>1046</v>
      </c>
      <c r="K36" s="40" t="s">
        <v>1162</v>
      </c>
      <c r="L36" s="41" t="s">
        <v>1033</v>
      </c>
      <c r="M36" s="42">
        <v>46281</v>
      </c>
      <c r="N36" s="40" t="s">
        <v>1034</v>
      </c>
    </row>
    <row r="37" spans="2:14" ht="60" customHeight="1" x14ac:dyDescent="0.3">
      <c r="B37" s="33" t="s">
        <v>1167</v>
      </c>
      <c r="C37" s="34" t="s">
        <v>160</v>
      </c>
      <c r="D37" s="34">
        <v>3</v>
      </c>
      <c r="E37" s="35" t="s">
        <v>172</v>
      </c>
      <c r="F37" s="35" t="s">
        <v>1168</v>
      </c>
      <c r="G37" s="35" t="s">
        <v>1169</v>
      </c>
      <c r="H37" s="35" t="s">
        <v>1170</v>
      </c>
      <c r="I37" s="35" t="s">
        <v>175</v>
      </c>
      <c r="J37" s="35" t="s">
        <v>1046</v>
      </c>
      <c r="K37" s="35" t="s">
        <v>1162</v>
      </c>
      <c r="L37" s="36" t="s">
        <v>1033</v>
      </c>
      <c r="M37" s="37">
        <v>46281</v>
      </c>
      <c r="N37" s="35" t="s">
        <v>1034</v>
      </c>
    </row>
    <row r="38" spans="2:14" ht="60" customHeight="1" x14ac:dyDescent="0.3">
      <c r="B38" s="38" t="s">
        <v>1171</v>
      </c>
      <c r="C38" s="39" t="s">
        <v>176</v>
      </c>
      <c r="D38" s="39">
        <v>1</v>
      </c>
      <c r="E38" s="40" t="s">
        <v>179</v>
      </c>
      <c r="F38" s="40" t="s">
        <v>1172</v>
      </c>
      <c r="G38" s="40" t="s">
        <v>1173</v>
      </c>
      <c r="H38" s="40" t="s">
        <v>1174</v>
      </c>
      <c r="I38" s="40" t="s">
        <v>182</v>
      </c>
      <c r="J38" s="40" t="s">
        <v>1046</v>
      </c>
      <c r="K38" s="40" t="s">
        <v>1175</v>
      </c>
      <c r="L38" s="41" t="s">
        <v>1033</v>
      </c>
      <c r="M38" s="42">
        <v>46281</v>
      </c>
      <c r="N38" s="40" t="s">
        <v>1034</v>
      </c>
    </row>
    <row r="39" spans="2:14" ht="60" customHeight="1" x14ac:dyDescent="0.3">
      <c r="B39" s="33" t="s">
        <v>1176</v>
      </c>
      <c r="C39" s="34" t="s">
        <v>176</v>
      </c>
      <c r="D39" s="34">
        <v>2</v>
      </c>
      <c r="E39" s="35" t="s">
        <v>183</v>
      </c>
      <c r="F39" s="35" t="s">
        <v>1177</v>
      </c>
      <c r="G39" s="35" t="s">
        <v>1160</v>
      </c>
      <c r="H39" s="35" t="s">
        <v>1178</v>
      </c>
      <c r="I39" s="35" t="s">
        <v>185</v>
      </c>
      <c r="J39" s="35" t="s">
        <v>1046</v>
      </c>
      <c r="K39" s="35" t="s">
        <v>1175</v>
      </c>
      <c r="L39" s="36" t="s">
        <v>1033</v>
      </c>
      <c r="M39" s="37">
        <v>46281</v>
      </c>
      <c r="N39" s="35" t="s">
        <v>1034</v>
      </c>
    </row>
    <row r="40" spans="2:14" ht="60" customHeight="1" x14ac:dyDescent="0.3">
      <c r="B40" s="38" t="s">
        <v>1179</v>
      </c>
      <c r="C40" s="39" t="s">
        <v>176</v>
      </c>
      <c r="D40" s="39">
        <v>3</v>
      </c>
      <c r="E40" s="40" t="s">
        <v>186</v>
      </c>
      <c r="F40" s="40" t="s">
        <v>1180</v>
      </c>
      <c r="G40" s="40" t="s">
        <v>1181</v>
      </c>
      <c r="H40" s="40" t="s">
        <v>1182</v>
      </c>
      <c r="I40" s="40" t="s">
        <v>189</v>
      </c>
      <c r="J40" s="40" t="s">
        <v>1046</v>
      </c>
      <c r="K40" s="40" t="s">
        <v>1175</v>
      </c>
      <c r="L40" s="41" t="s">
        <v>1033</v>
      </c>
      <c r="M40" s="42">
        <v>46281</v>
      </c>
      <c r="N40" s="40" t="s">
        <v>1034</v>
      </c>
    </row>
    <row r="41" spans="2:14" ht="60" customHeight="1" x14ac:dyDescent="0.3">
      <c r="B41" s="33" t="s">
        <v>1183</v>
      </c>
      <c r="C41" s="34" t="s">
        <v>205</v>
      </c>
      <c r="D41" s="34">
        <v>1</v>
      </c>
      <c r="E41" s="35" t="s">
        <v>209</v>
      </c>
      <c r="F41" s="35" t="s">
        <v>1184</v>
      </c>
      <c r="G41" s="35" t="s">
        <v>1185</v>
      </c>
      <c r="H41" s="35" t="s">
        <v>1186</v>
      </c>
      <c r="I41" s="35" t="s">
        <v>212</v>
      </c>
      <c r="J41" s="35" t="s">
        <v>1187</v>
      </c>
      <c r="K41" s="35" t="s">
        <v>1188</v>
      </c>
      <c r="L41" s="36" t="s">
        <v>1033</v>
      </c>
      <c r="M41" s="37">
        <v>46281</v>
      </c>
      <c r="N41" s="35" t="s">
        <v>1034</v>
      </c>
    </row>
    <row r="42" spans="2:14" ht="60" customHeight="1" x14ac:dyDescent="0.3">
      <c r="B42" s="38" t="s">
        <v>1189</v>
      </c>
      <c r="C42" s="39" t="s">
        <v>205</v>
      </c>
      <c r="D42" s="39">
        <v>2</v>
      </c>
      <c r="E42" s="40" t="s">
        <v>213</v>
      </c>
      <c r="F42" s="40" t="s">
        <v>1190</v>
      </c>
      <c r="G42" s="40" t="s">
        <v>1191</v>
      </c>
      <c r="H42" s="40" t="s">
        <v>1192</v>
      </c>
      <c r="I42" s="40" t="s">
        <v>215</v>
      </c>
      <c r="J42" s="40" t="s">
        <v>1193</v>
      </c>
      <c r="K42" s="40" t="s">
        <v>1194</v>
      </c>
      <c r="L42" s="41" t="s">
        <v>1033</v>
      </c>
      <c r="M42" s="42">
        <v>46281</v>
      </c>
      <c r="N42" s="40" t="s">
        <v>1034</v>
      </c>
    </row>
    <row r="43" spans="2:14" ht="60" customHeight="1" x14ac:dyDescent="0.3">
      <c r="B43" s="33" t="s">
        <v>1195</v>
      </c>
      <c r="C43" s="34" t="s">
        <v>205</v>
      </c>
      <c r="D43" s="34">
        <v>3</v>
      </c>
      <c r="E43" s="35" t="s">
        <v>216</v>
      </c>
      <c r="F43" s="35" t="s">
        <v>1196</v>
      </c>
      <c r="G43" s="35" t="s">
        <v>1197</v>
      </c>
      <c r="H43" s="35" t="s">
        <v>1198</v>
      </c>
      <c r="I43" s="35" t="s">
        <v>219</v>
      </c>
      <c r="J43" s="35" t="s">
        <v>1193</v>
      </c>
      <c r="K43" s="35" t="s">
        <v>1194</v>
      </c>
      <c r="L43" s="43" t="s">
        <v>1199</v>
      </c>
      <c r="M43" s="37">
        <v>46281</v>
      </c>
      <c r="N43" s="35" t="s">
        <v>1200</v>
      </c>
    </row>
    <row r="44" spans="2:14" ht="60" customHeight="1" x14ac:dyDescent="0.3">
      <c r="B44" s="38" t="s">
        <v>1201</v>
      </c>
      <c r="C44" s="39" t="s">
        <v>220</v>
      </c>
      <c r="D44" s="39">
        <v>1</v>
      </c>
      <c r="E44" s="40" t="s">
        <v>223</v>
      </c>
      <c r="F44" s="40" t="s">
        <v>1202</v>
      </c>
      <c r="G44" s="40" t="s">
        <v>1203</v>
      </c>
      <c r="H44" s="40" t="s">
        <v>1204</v>
      </c>
      <c r="I44" s="40" t="s">
        <v>226</v>
      </c>
      <c r="J44" s="40" t="s">
        <v>1205</v>
      </c>
      <c r="K44" s="40" t="s">
        <v>1206</v>
      </c>
      <c r="L44" s="41" t="s">
        <v>1033</v>
      </c>
      <c r="M44" s="42">
        <v>46281</v>
      </c>
      <c r="N44" s="40" t="s">
        <v>1034</v>
      </c>
    </row>
    <row r="45" spans="2:14" ht="60" customHeight="1" x14ac:dyDescent="0.3">
      <c r="B45" s="33" t="s">
        <v>1207</v>
      </c>
      <c r="C45" s="34" t="s">
        <v>220</v>
      </c>
      <c r="D45" s="34">
        <v>2</v>
      </c>
      <c r="E45" s="35" t="s">
        <v>227</v>
      </c>
      <c r="F45" s="35" t="s">
        <v>1208</v>
      </c>
      <c r="G45" s="35" t="s">
        <v>1209</v>
      </c>
      <c r="H45" s="35" t="s">
        <v>1210</v>
      </c>
      <c r="I45" s="35" t="s">
        <v>230</v>
      </c>
      <c r="J45" s="35" t="s">
        <v>1205</v>
      </c>
      <c r="K45" s="35" t="s">
        <v>1206</v>
      </c>
      <c r="L45" s="36" t="s">
        <v>1033</v>
      </c>
      <c r="M45" s="37">
        <v>46281</v>
      </c>
      <c r="N45" s="35" t="s">
        <v>1034</v>
      </c>
    </row>
    <row r="46" spans="2:14" ht="60" customHeight="1" x14ac:dyDescent="0.3">
      <c r="B46" s="38" t="s">
        <v>1211</v>
      </c>
      <c r="C46" s="39" t="s">
        <v>220</v>
      </c>
      <c r="D46" s="39">
        <v>3</v>
      </c>
      <c r="E46" s="40" t="s">
        <v>231</v>
      </c>
      <c r="F46" s="40" t="s">
        <v>1212</v>
      </c>
      <c r="G46" s="40" t="s">
        <v>1213</v>
      </c>
      <c r="H46" s="40" t="s">
        <v>1214</v>
      </c>
      <c r="I46" s="40" t="s">
        <v>233</v>
      </c>
      <c r="J46" s="40" t="s">
        <v>1205</v>
      </c>
      <c r="K46" s="40" t="s">
        <v>1206</v>
      </c>
      <c r="L46" s="41" t="s">
        <v>1033</v>
      </c>
      <c r="M46" s="42">
        <v>46281</v>
      </c>
      <c r="N46" s="40" t="s">
        <v>1034</v>
      </c>
    </row>
    <row r="47" spans="2:14" ht="64.95" customHeight="1" x14ac:dyDescent="0.3">
      <c r="B47" s="33" t="s">
        <v>1215</v>
      </c>
      <c r="C47" s="34" t="s">
        <v>234</v>
      </c>
      <c r="D47" s="34">
        <v>1</v>
      </c>
      <c r="E47" s="35" t="s">
        <v>237</v>
      </c>
      <c r="F47" s="35" t="s">
        <v>1216</v>
      </c>
      <c r="G47" s="35" t="s">
        <v>1217</v>
      </c>
      <c r="H47" s="35" t="s">
        <v>1218</v>
      </c>
      <c r="I47" s="35" t="s">
        <v>240</v>
      </c>
      <c r="J47" s="35" t="s">
        <v>1205</v>
      </c>
      <c r="K47" s="35" t="s">
        <v>1219</v>
      </c>
      <c r="L47" s="36" t="s">
        <v>1033</v>
      </c>
      <c r="M47" s="37">
        <v>46281</v>
      </c>
      <c r="N47" s="35" t="s">
        <v>1034</v>
      </c>
    </row>
    <row r="48" spans="2:14" ht="64.95" customHeight="1" x14ac:dyDescent="0.3">
      <c r="B48" s="38" t="s">
        <v>1220</v>
      </c>
      <c r="C48" s="39" t="s">
        <v>234</v>
      </c>
      <c r="D48" s="39">
        <v>2</v>
      </c>
      <c r="E48" s="40" t="s">
        <v>241</v>
      </c>
      <c r="F48" s="40" t="s">
        <v>1221</v>
      </c>
      <c r="G48" s="40" t="s">
        <v>1222</v>
      </c>
      <c r="H48" s="40" t="s">
        <v>1223</v>
      </c>
      <c r="I48" s="40" t="s">
        <v>243</v>
      </c>
      <c r="J48" s="40" t="s">
        <v>1205</v>
      </c>
      <c r="K48" s="40" t="s">
        <v>1219</v>
      </c>
      <c r="L48" s="41" t="s">
        <v>1033</v>
      </c>
      <c r="M48" s="42">
        <v>46281</v>
      </c>
      <c r="N48" s="40" t="s">
        <v>1034</v>
      </c>
    </row>
    <row r="49" spans="2:14" ht="64.95" customHeight="1" x14ac:dyDescent="0.3">
      <c r="B49" s="33" t="s">
        <v>1224</v>
      </c>
      <c r="C49" s="34" t="s">
        <v>234</v>
      </c>
      <c r="D49" s="34">
        <v>3</v>
      </c>
      <c r="E49" s="35" t="s">
        <v>244</v>
      </c>
      <c r="F49" s="35" t="s">
        <v>1225</v>
      </c>
      <c r="G49" s="35" t="s">
        <v>1226</v>
      </c>
      <c r="H49" s="35" t="s">
        <v>1227</v>
      </c>
      <c r="I49" s="35" t="s">
        <v>246</v>
      </c>
      <c r="J49" s="35" t="s">
        <v>1205</v>
      </c>
      <c r="K49" s="35" t="s">
        <v>1219</v>
      </c>
      <c r="L49" s="36" t="s">
        <v>1033</v>
      </c>
      <c r="M49" s="37">
        <v>46281</v>
      </c>
      <c r="N49" s="35" t="s">
        <v>1034</v>
      </c>
    </row>
    <row r="50" spans="2:14" ht="64.95" customHeight="1" x14ac:dyDescent="0.3">
      <c r="B50" s="38" t="s">
        <v>1228</v>
      </c>
      <c r="C50" s="39" t="s">
        <v>247</v>
      </c>
      <c r="D50" s="39">
        <v>1</v>
      </c>
      <c r="E50" s="40" t="s">
        <v>250</v>
      </c>
      <c r="F50" s="40" t="s">
        <v>1229</v>
      </c>
      <c r="G50" s="40" t="s">
        <v>1230</v>
      </c>
      <c r="H50" s="40" t="s">
        <v>1231</v>
      </c>
      <c r="I50" s="40" t="s">
        <v>253</v>
      </c>
      <c r="J50" s="40" t="s">
        <v>1205</v>
      </c>
      <c r="K50" s="40" t="s">
        <v>1232</v>
      </c>
      <c r="L50" s="41" t="s">
        <v>1033</v>
      </c>
      <c r="M50" s="42">
        <v>46281</v>
      </c>
      <c r="N50" s="40" t="s">
        <v>1034</v>
      </c>
    </row>
    <row r="51" spans="2:14" ht="64.95" customHeight="1" x14ac:dyDescent="0.3">
      <c r="B51" s="33" t="s">
        <v>1233</v>
      </c>
      <c r="C51" s="34" t="s">
        <v>247</v>
      </c>
      <c r="D51" s="34">
        <v>2</v>
      </c>
      <c r="E51" s="35" t="s">
        <v>254</v>
      </c>
      <c r="F51" s="35" t="s">
        <v>1234</v>
      </c>
      <c r="G51" s="35" t="s">
        <v>1235</v>
      </c>
      <c r="H51" s="35" t="s">
        <v>1236</v>
      </c>
      <c r="I51" s="35" t="s">
        <v>257</v>
      </c>
      <c r="J51" s="35" t="s">
        <v>1205</v>
      </c>
      <c r="K51" s="35" t="s">
        <v>1232</v>
      </c>
      <c r="L51" s="36" t="s">
        <v>1033</v>
      </c>
      <c r="M51" s="37">
        <v>46281</v>
      </c>
      <c r="N51" s="35" t="s">
        <v>1034</v>
      </c>
    </row>
    <row r="52" spans="2:14" ht="64.95" customHeight="1" x14ac:dyDescent="0.3">
      <c r="B52" s="38" t="s">
        <v>1237</v>
      </c>
      <c r="C52" s="39" t="s">
        <v>247</v>
      </c>
      <c r="D52" s="39">
        <v>3</v>
      </c>
      <c r="E52" s="40" t="s">
        <v>258</v>
      </c>
      <c r="F52" s="40" t="s">
        <v>1238</v>
      </c>
      <c r="G52" s="40" t="s">
        <v>1239</v>
      </c>
      <c r="H52" s="40" t="s">
        <v>1240</v>
      </c>
      <c r="I52" s="40" t="s">
        <v>260</v>
      </c>
      <c r="J52" s="40" t="s">
        <v>1205</v>
      </c>
      <c r="K52" s="40" t="s">
        <v>1232</v>
      </c>
      <c r="L52" s="41" t="s">
        <v>1033</v>
      </c>
      <c r="M52" s="42">
        <v>46281</v>
      </c>
      <c r="N52" s="40" t="s">
        <v>1034</v>
      </c>
    </row>
    <row r="53" spans="2:14" ht="64.95" customHeight="1" x14ac:dyDescent="0.3">
      <c r="B53" s="33" t="s">
        <v>1241</v>
      </c>
      <c r="C53" s="34" t="s">
        <v>261</v>
      </c>
      <c r="D53" s="34">
        <v>1</v>
      </c>
      <c r="E53" s="35" t="s">
        <v>264</v>
      </c>
      <c r="F53" s="35" t="s">
        <v>1242</v>
      </c>
      <c r="G53" s="35" t="s">
        <v>1243</v>
      </c>
      <c r="H53" s="35" t="s">
        <v>1244</v>
      </c>
      <c r="I53" s="35" t="s">
        <v>267</v>
      </c>
      <c r="J53" s="35" t="s">
        <v>1205</v>
      </c>
      <c r="K53" s="35" t="s">
        <v>1245</v>
      </c>
      <c r="L53" s="36" t="s">
        <v>1033</v>
      </c>
      <c r="M53" s="37">
        <v>46281</v>
      </c>
      <c r="N53" s="35" t="s">
        <v>1034</v>
      </c>
    </row>
    <row r="54" spans="2:14" ht="64.95" customHeight="1" x14ac:dyDescent="0.3">
      <c r="B54" s="38" t="s">
        <v>1246</v>
      </c>
      <c r="C54" s="39" t="s">
        <v>261</v>
      </c>
      <c r="D54" s="39">
        <v>2</v>
      </c>
      <c r="E54" s="40" t="s">
        <v>268</v>
      </c>
      <c r="F54" s="40" t="s">
        <v>1247</v>
      </c>
      <c r="G54" s="40" t="s">
        <v>1101</v>
      </c>
      <c r="H54" s="40" t="s">
        <v>1248</v>
      </c>
      <c r="I54" s="40" t="s">
        <v>269</v>
      </c>
      <c r="J54" s="40" t="s">
        <v>1205</v>
      </c>
      <c r="K54" s="40" t="s">
        <v>1245</v>
      </c>
      <c r="L54" s="41" t="s">
        <v>1033</v>
      </c>
      <c r="M54" s="42">
        <v>46281</v>
      </c>
      <c r="N54" s="40" t="s">
        <v>1034</v>
      </c>
    </row>
    <row r="55" spans="2:14" ht="64.95" customHeight="1" x14ac:dyDescent="0.3">
      <c r="B55" s="33" t="s">
        <v>1249</v>
      </c>
      <c r="C55" s="34" t="s">
        <v>261</v>
      </c>
      <c r="D55" s="34">
        <v>3</v>
      </c>
      <c r="E55" s="35" t="s">
        <v>270</v>
      </c>
      <c r="F55" s="35" t="s">
        <v>1250</v>
      </c>
      <c r="G55" s="35" t="s">
        <v>1251</v>
      </c>
      <c r="H55" s="35" t="s">
        <v>1252</v>
      </c>
      <c r="I55" s="35" t="s">
        <v>272</v>
      </c>
      <c r="J55" s="35" t="s">
        <v>1205</v>
      </c>
      <c r="K55" s="35" t="s">
        <v>1245</v>
      </c>
      <c r="L55" s="36" t="s">
        <v>1033</v>
      </c>
      <c r="M55" s="37">
        <v>46281</v>
      </c>
      <c r="N55" s="35" t="s">
        <v>1034</v>
      </c>
    </row>
    <row r="56" spans="2:14" ht="64.95" customHeight="1" x14ac:dyDescent="0.3">
      <c r="B56" s="38" t="s">
        <v>1253</v>
      </c>
      <c r="C56" s="39" t="s">
        <v>273</v>
      </c>
      <c r="D56" s="39">
        <v>1</v>
      </c>
      <c r="E56" s="40" t="s">
        <v>276</v>
      </c>
      <c r="F56" s="40" t="s">
        <v>1254</v>
      </c>
      <c r="G56" s="40" t="s">
        <v>1255</v>
      </c>
      <c r="H56" s="40" t="s">
        <v>1256</v>
      </c>
      <c r="I56" s="40" t="s">
        <v>278</v>
      </c>
      <c r="J56" s="40" t="s">
        <v>1205</v>
      </c>
      <c r="K56" s="40" t="s">
        <v>1257</v>
      </c>
      <c r="L56" s="41" t="s">
        <v>1033</v>
      </c>
      <c r="M56" s="42">
        <v>46281</v>
      </c>
      <c r="N56" s="40" t="s">
        <v>1034</v>
      </c>
    </row>
    <row r="57" spans="2:14" ht="64.95" customHeight="1" x14ac:dyDescent="0.3">
      <c r="B57" s="33" t="s">
        <v>1258</v>
      </c>
      <c r="C57" s="34" t="s">
        <v>273</v>
      </c>
      <c r="D57" s="34">
        <v>2</v>
      </c>
      <c r="E57" s="35" t="s">
        <v>279</v>
      </c>
      <c r="F57" s="35" t="s">
        <v>1259</v>
      </c>
      <c r="G57" s="35" t="s">
        <v>1260</v>
      </c>
      <c r="H57" s="35" t="s">
        <v>1261</v>
      </c>
      <c r="I57" s="35" t="s">
        <v>281</v>
      </c>
      <c r="J57" s="35" t="s">
        <v>1205</v>
      </c>
      <c r="K57" s="35" t="s">
        <v>1257</v>
      </c>
      <c r="L57" s="36" t="s">
        <v>1033</v>
      </c>
      <c r="M57" s="37">
        <v>46281</v>
      </c>
      <c r="N57" s="35" t="s">
        <v>1034</v>
      </c>
    </row>
    <row r="58" spans="2:14" ht="64.95" customHeight="1" x14ac:dyDescent="0.3">
      <c r="B58" s="38" t="s">
        <v>1262</v>
      </c>
      <c r="C58" s="39" t="s">
        <v>273</v>
      </c>
      <c r="D58" s="39">
        <v>3</v>
      </c>
      <c r="E58" s="40" t="s">
        <v>282</v>
      </c>
      <c r="F58" s="40" t="s">
        <v>1263</v>
      </c>
      <c r="G58" s="40" t="s">
        <v>1264</v>
      </c>
      <c r="H58" s="40" t="s">
        <v>1265</v>
      </c>
      <c r="I58" s="40" t="s">
        <v>284</v>
      </c>
      <c r="J58" s="40" t="s">
        <v>1205</v>
      </c>
      <c r="K58" s="40" t="s">
        <v>1257</v>
      </c>
      <c r="L58" s="41" t="s">
        <v>1033</v>
      </c>
      <c r="M58" s="42">
        <v>46281</v>
      </c>
      <c r="N58" s="40" t="s">
        <v>1034</v>
      </c>
    </row>
    <row r="59" spans="2:14" ht="64.95" customHeight="1" x14ac:dyDescent="0.3">
      <c r="B59" s="33" t="s">
        <v>1266</v>
      </c>
      <c r="C59" s="34" t="s">
        <v>285</v>
      </c>
      <c r="D59" s="34">
        <v>1</v>
      </c>
      <c r="E59" s="35" t="s">
        <v>288</v>
      </c>
      <c r="F59" s="35" t="s">
        <v>1267</v>
      </c>
      <c r="G59" s="35" t="s">
        <v>1268</v>
      </c>
      <c r="H59" s="35" t="s">
        <v>1269</v>
      </c>
      <c r="I59" s="35" t="s">
        <v>291</v>
      </c>
      <c r="J59" s="35" t="s">
        <v>1205</v>
      </c>
      <c r="K59" s="35" t="s">
        <v>1270</v>
      </c>
      <c r="L59" s="36" t="s">
        <v>1033</v>
      </c>
      <c r="M59" s="37">
        <v>46281</v>
      </c>
      <c r="N59" s="35" t="s">
        <v>1034</v>
      </c>
    </row>
    <row r="60" spans="2:14" ht="64.95" customHeight="1" x14ac:dyDescent="0.3">
      <c r="B60" s="38" t="s">
        <v>1271</v>
      </c>
      <c r="C60" s="39" t="s">
        <v>285</v>
      </c>
      <c r="D60" s="39">
        <v>2</v>
      </c>
      <c r="E60" s="40" t="s">
        <v>292</v>
      </c>
      <c r="F60" s="40" t="s">
        <v>1272</v>
      </c>
      <c r="G60" s="40" t="s">
        <v>1273</v>
      </c>
      <c r="H60" s="40" t="s">
        <v>1274</v>
      </c>
      <c r="I60" s="40" t="s">
        <v>295</v>
      </c>
      <c r="J60" s="40" t="s">
        <v>1205</v>
      </c>
      <c r="K60" s="40" t="s">
        <v>1270</v>
      </c>
      <c r="L60" s="41" t="s">
        <v>1033</v>
      </c>
      <c r="M60" s="42">
        <v>46281</v>
      </c>
      <c r="N60" s="40" t="s">
        <v>1034</v>
      </c>
    </row>
    <row r="61" spans="2:14" ht="64.95" customHeight="1" x14ac:dyDescent="0.3">
      <c r="B61" s="33" t="s">
        <v>1275</v>
      </c>
      <c r="C61" s="34" t="s">
        <v>285</v>
      </c>
      <c r="D61" s="34">
        <v>3</v>
      </c>
      <c r="E61" s="35" t="s">
        <v>296</v>
      </c>
      <c r="F61" s="35" t="s">
        <v>1276</v>
      </c>
      <c r="G61" s="35" t="s">
        <v>1277</v>
      </c>
      <c r="H61" s="35" t="s">
        <v>1278</v>
      </c>
      <c r="I61" s="35" t="s">
        <v>299</v>
      </c>
      <c r="J61" s="35" t="s">
        <v>1205</v>
      </c>
      <c r="K61" s="35" t="s">
        <v>1270</v>
      </c>
      <c r="L61" s="36" t="s">
        <v>1033</v>
      </c>
      <c r="M61" s="37">
        <v>46281</v>
      </c>
      <c r="N61" s="35" t="s">
        <v>1034</v>
      </c>
    </row>
    <row r="62" spans="2:14" ht="64.95" customHeight="1" x14ac:dyDescent="0.3">
      <c r="B62" s="38" t="s">
        <v>1279</v>
      </c>
      <c r="C62" s="39" t="s">
        <v>300</v>
      </c>
      <c r="D62" s="39">
        <v>1</v>
      </c>
      <c r="E62" s="40" t="s">
        <v>303</v>
      </c>
      <c r="F62" s="40" t="s">
        <v>1280</v>
      </c>
      <c r="G62" s="40" t="s">
        <v>1281</v>
      </c>
      <c r="H62" s="40" t="s">
        <v>1282</v>
      </c>
      <c r="I62" s="40" t="s">
        <v>306</v>
      </c>
      <c r="J62" s="40" t="s">
        <v>1205</v>
      </c>
      <c r="K62" s="40" t="s">
        <v>1283</v>
      </c>
      <c r="L62" s="41" t="s">
        <v>1033</v>
      </c>
      <c r="M62" s="42">
        <v>46281</v>
      </c>
      <c r="N62" s="40" t="s">
        <v>1034</v>
      </c>
    </row>
    <row r="63" spans="2:14" ht="64.95" customHeight="1" x14ac:dyDescent="0.3">
      <c r="B63" s="33" t="s">
        <v>1284</v>
      </c>
      <c r="C63" s="34" t="s">
        <v>300</v>
      </c>
      <c r="D63" s="34">
        <v>2</v>
      </c>
      <c r="E63" s="35" t="s">
        <v>307</v>
      </c>
      <c r="F63" s="35" t="s">
        <v>1285</v>
      </c>
      <c r="G63" s="35" t="s">
        <v>1286</v>
      </c>
      <c r="H63" s="35" t="s">
        <v>1287</v>
      </c>
      <c r="I63" s="35" t="s">
        <v>310</v>
      </c>
      <c r="J63" s="35" t="s">
        <v>1205</v>
      </c>
      <c r="K63" s="35" t="s">
        <v>1283</v>
      </c>
      <c r="L63" s="36" t="s">
        <v>1033</v>
      </c>
      <c r="M63" s="37">
        <v>46281</v>
      </c>
      <c r="N63" s="35" t="s">
        <v>1034</v>
      </c>
    </row>
    <row r="64" spans="2:14" ht="64.95" customHeight="1" x14ac:dyDescent="0.3">
      <c r="B64" s="38" t="s">
        <v>1288</v>
      </c>
      <c r="C64" s="39" t="s">
        <v>300</v>
      </c>
      <c r="D64" s="39">
        <v>3</v>
      </c>
      <c r="E64" s="40" t="s">
        <v>311</v>
      </c>
      <c r="F64" s="40" t="s">
        <v>1289</v>
      </c>
      <c r="G64" s="40" t="s">
        <v>1290</v>
      </c>
      <c r="H64" s="40" t="s">
        <v>1291</v>
      </c>
      <c r="I64" s="40" t="s">
        <v>314</v>
      </c>
      <c r="J64" s="40" t="s">
        <v>1205</v>
      </c>
      <c r="K64" s="40" t="s">
        <v>1283</v>
      </c>
      <c r="L64" s="41" t="s">
        <v>1033</v>
      </c>
      <c r="M64" s="42">
        <v>46281</v>
      </c>
      <c r="N64" s="40" t="s">
        <v>1034</v>
      </c>
    </row>
    <row r="65" spans="2:14" ht="78" customHeight="1" x14ac:dyDescent="0.3">
      <c r="B65" s="33" t="s">
        <v>1292</v>
      </c>
      <c r="C65" s="34" t="s">
        <v>315</v>
      </c>
      <c r="D65" s="34">
        <v>1</v>
      </c>
      <c r="E65" s="35" t="s">
        <v>318</v>
      </c>
      <c r="F65" s="35" t="s">
        <v>1293</v>
      </c>
      <c r="G65" s="35" t="s">
        <v>1294</v>
      </c>
      <c r="H65" s="35" t="s">
        <v>1295</v>
      </c>
      <c r="I65" s="35" t="s">
        <v>321</v>
      </c>
      <c r="J65" s="35" t="s">
        <v>1205</v>
      </c>
      <c r="K65" s="35" t="s">
        <v>1296</v>
      </c>
      <c r="L65" s="36" t="s">
        <v>1033</v>
      </c>
      <c r="M65" s="37">
        <v>46281</v>
      </c>
      <c r="N65" s="35" t="s">
        <v>1034</v>
      </c>
    </row>
    <row r="66" spans="2:14" ht="64.95" customHeight="1" x14ac:dyDescent="0.3">
      <c r="B66" s="38" t="s">
        <v>1297</v>
      </c>
      <c r="C66" s="39" t="s">
        <v>315</v>
      </c>
      <c r="D66" s="39">
        <v>2</v>
      </c>
      <c r="E66" s="40" t="s">
        <v>322</v>
      </c>
      <c r="F66" s="40" t="s">
        <v>1298</v>
      </c>
      <c r="G66" s="40" t="s">
        <v>1299</v>
      </c>
      <c r="H66" s="40" t="s">
        <v>1300</v>
      </c>
      <c r="I66" s="40" t="s">
        <v>325</v>
      </c>
      <c r="J66" s="40" t="s">
        <v>1205</v>
      </c>
      <c r="K66" s="40" t="s">
        <v>1296</v>
      </c>
      <c r="L66" s="41" t="s">
        <v>1033</v>
      </c>
      <c r="M66" s="42">
        <v>46281</v>
      </c>
      <c r="N66" s="40" t="s">
        <v>1034</v>
      </c>
    </row>
    <row r="67" spans="2:14" ht="64.95" customHeight="1" x14ac:dyDescent="0.3">
      <c r="B67" s="33" t="s">
        <v>1301</v>
      </c>
      <c r="C67" s="34" t="s">
        <v>315</v>
      </c>
      <c r="D67" s="34">
        <v>3</v>
      </c>
      <c r="E67" s="35" t="s">
        <v>326</v>
      </c>
      <c r="F67" s="35" t="s">
        <v>1302</v>
      </c>
      <c r="G67" s="35" t="s">
        <v>1303</v>
      </c>
      <c r="H67" s="35" t="s">
        <v>1304</v>
      </c>
      <c r="I67" s="35" t="s">
        <v>329</v>
      </c>
      <c r="J67" s="35" t="s">
        <v>1205</v>
      </c>
      <c r="K67" s="35" t="s">
        <v>1296</v>
      </c>
      <c r="L67" s="36" t="s">
        <v>1033</v>
      </c>
      <c r="M67" s="37">
        <v>46281</v>
      </c>
      <c r="N67" s="35" t="s">
        <v>1034</v>
      </c>
    </row>
    <row r="68" spans="2:14" ht="60" customHeight="1" x14ac:dyDescent="0.3">
      <c r="B68" s="38" t="s">
        <v>1305</v>
      </c>
      <c r="C68" s="39" t="s">
        <v>330</v>
      </c>
      <c r="D68" s="39">
        <v>1</v>
      </c>
      <c r="E68" s="40" t="s">
        <v>333</v>
      </c>
      <c r="F68" s="40" t="s">
        <v>1306</v>
      </c>
      <c r="G68" s="40" t="s">
        <v>1307</v>
      </c>
      <c r="H68" s="40" t="s">
        <v>1308</v>
      </c>
      <c r="I68" s="40" t="s">
        <v>336</v>
      </c>
      <c r="J68" s="40" t="s">
        <v>1205</v>
      </c>
      <c r="K68" s="40" t="s">
        <v>1309</v>
      </c>
      <c r="L68" s="41" t="s">
        <v>1033</v>
      </c>
      <c r="M68" s="42">
        <v>46281</v>
      </c>
      <c r="N68" s="40" t="s">
        <v>1034</v>
      </c>
    </row>
    <row r="69" spans="2:14" ht="60" customHeight="1" x14ac:dyDescent="0.3">
      <c r="B69" s="33" t="s">
        <v>1310</v>
      </c>
      <c r="C69" s="34" t="s">
        <v>330</v>
      </c>
      <c r="D69" s="34">
        <v>2</v>
      </c>
      <c r="E69" s="35" t="s">
        <v>337</v>
      </c>
      <c r="F69" s="35" t="s">
        <v>1311</v>
      </c>
      <c r="G69" s="35" t="s">
        <v>1312</v>
      </c>
      <c r="H69" s="35" t="s">
        <v>1313</v>
      </c>
      <c r="I69" s="35" t="s">
        <v>340</v>
      </c>
      <c r="J69" s="35" t="s">
        <v>1205</v>
      </c>
      <c r="K69" s="35" t="s">
        <v>1309</v>
      </c>
      <c r="L69" s="36" t="s">
        <v>1033</v>
      </c>
      <c r="M69" s="37">
        <v>46281</v>
      </c>
      <c r="N69" s="35" t="s">
        <v>1034</v>
      </c>
    </row>
    <row r="70" spans="2:14" ht="60" customHeight="1" x14ac:dyDescent="0.3">
      <c r="B70" s="38" t="s">
        <v>1314</v>
      </c>
      <c r="C70" s="39" t="s">
        <v>330</v>
      </c>
      <c r="D70" s="39">
        <v>3</v>
      </c>
      <c r="E70" s="40" t="s">
        <v>341</v>
      </c>
      <c r="F70" s="40" t="s">
        <v>1315</v>
      </c>
      <c r="G70" s="40" t="s">
        <v>1312</v>
      </c>
      <c r="H70" s="40" t="s">
        <v>1313</v>
      </c>
      <c r="I70" s="40" t="s">
        <v>342</v>
      </c>
      <c r="J70" s="40" t="s">
        <v>1205</v>
      </c>
      <c r="K70" s="40" t="s">
        <v>1309</v>
      </c>
      <c r="L70" s="41" t="s">
        <v>1033</v>
      </c>
      <c r="M70" s="42">
        <v>46281</v>
      </c>
      <c r="N70" s="40" t="s">
        <v>1034</v>
      </c>
    </row>
    <row r="71" spans="2:14" ht="60" customHeight="1" x14ac:dyDescent="0.3">
      <c r="B71" s="33" t="s">
        <v>1316</v>
      </c>
      <c r="C71" s="34" t="s">
        <v>343</v>
      </c>
      <c r="D71" s="34">
        <v>1</v>
      </c>
      <c r="E71" s="35" t="s">
        <v>111</v>
      </c>
      <c r="F71" s="35" t="s">
        <v>1202</v>
      </c>
      <c r="G71" s="35" t="s">
        <v>1317</v>
      </c>
      <c r="H71" s="35" t="s">
        <v>1318</v>
      </c>
      <c r="I71" s="35" t="s">
        <v>226</v>
      </c>
      <c r="J71" s="35" t="s">
        <v>1187</v>
      </c>
      <c r="K71" s="35" t="s">
        <v>1319</v>
      </c>
      <c r="L71" s="36" t="s">
        <v>1033</v>
      </c>
      <c r="M71" s="37">
        <v>46281</v>
      </c>
      <c r="N71" s="35" t="s">
        <v>1034</v>
      </c>
    </row>
    <row r="72" spans="2:14" ht="60" customHeight="1" x14ac:dyDescent="0.3">
      <c r="B72" s="38" t="s">
        <v>1320</v>
      </c>
      <c r="C72" s="39" t="s">
        <v>343</v>
      </c>
      <c r="D72" s="39">
        <v>2</v>
      </c>
      <c r="E72" s="40" t="s">
        <v>348</v>
      </c>
      <c r="F72" s="40" t="s">
        <v>1321</v>
      </c>
      <c r="G72" s="40" t="s">
        <v>1322</v>
      </c>
      <c r="H72" s="40" t="s">
        <v>1323</v>
      </c>
      <c r="I72" s="40" t="s">
        <v>351</v>
      </c>
      <c r="J72" s="40" t="s">
        <v>1205</v>
      </c>
      <c r="K72" s="40" t="s">
        <v>1324</v>
      </c>
      <c r="L72" s="41" t="s">
        <v>1033</v>
      </c>
      <c r="M72" s="42">
        <v>46281</v>
      </c>
      <c r="N72" s="40" t="s">
        <v>1034</v>
      </c>
    </row>
    <row r="73" spans="2:14" ht="60" customHeight="1" x14ac:dyDescent="0.3">
      <c r="B73" s="33" t="s">
        <v>1325</v>
      </c>
      <c r="C73" s="34" t="s">
        <v>343</v>
      </c>
      <c r="D73" s="34">
        <v>3</v>
      </c>
      <c r="E73" s="35" t="s">
        <v>352</v>
      </c>
      <c r="F73" s="35" t="s">
        <v>1326</v>
      </c>
      <c r="G73" s="35" t="s">
        <v>1327</v>
      </c>
      <c r="H73" s="35" t="s">
        <v>1328</v>
      </c>
      <c r="I73" s="35" t="s">
        <v>355</v>
      </c>
      <c r="J73" s="35" t="s">
        <v>1205</v>
      </c>
      <c r="K73" s="35" t="s">
        <v>1324</v>
      </c>
      <c r="L73" s="36" t="s">
        <v>1033</v>
      </c>
      <c r="M73" s="37">
        <v>46281</v>
      </c>
      <c r="N73" s="35" t="s">
        <v>1034</v>
      </c>
    </row>
    <row r="74" spans="2:14" ht="64.95" customHeight="1" x14ac:dyDescent="0.3">
      <c r="B74" s="38" t="s">
        <v>1329</v>
      </c>
      <c r="C74" s="39" t="s">
        <v>356</v>
      </c>
      <c r="D74" s="39">
        <v>1</v>
      </c>
      <c r="E74" s="40" t="s">
        <v>359</v>
      </c>
      <c r="F74" s="40" t="s">
        <v>1330</v>
      </c>
      <c r="G74" s="40" t="s">
        <v>1331</v>
      </c>
      <c r="H74" s="40" t="s">
        <v>1332</v>
      </c>
      <c r="I74" s="40" t="s">
        <v>362</v>
      </c>
      <c r="J74" s="40" t="s">
        <v>1205</v>
      </c>
      <c r="K74" s="40" t="s">
        <v>1333</v>
      </c>
      <c r="L74" s="41" t="s">
        <v>1033</v>
      </c>
      <c r="M74" s="42">
        <v>46281</v>
      </c>
      <c r="N74" s="40" t="s">
        <v>1034</v>
      </c>
    </row>
    <row r="75" spans="2:14" ht="64.95" customHeight="1" x14ac:dyDescent="0.3">
      <c r="B75" s="33" t="s">
        <v>1334</v>
      </c>
      <c r="C75" s="34" t="s">
        <v>356</v>
      </c>
      <c r="D75" s="34">
        <v>2</v>
      </c>
      <c r="E75" s="35" t="s">
        <v>363</v>
      </c>
      <c r="F75" s="35" t="s">
        <v>1335</v>
      </c>
      <c r="G75" s="35" t="s">
        <v>1336</v>
      </c>
      <c r="H75" s="35" t="s">
        <v>1337</v>
      </c>
      <c r="I75" s="35" t="s">
        <v>366</v>
      </c>
      <c r="J75" s="35" t="s">
        <v>1205</v>
      </c>
      <c r="K75" s="35" t="s">
        <v>1333</v>
      </c>
      <c r="L75" s="36" t="s">
        <v>1033</v>
      </c>
      <c r="M75" s="37">
        <v>46281</v>
      </c>
      <c r="N75" s="35" t="s">
        <v>1034</v>
      </c>
    </row>
    <row r="76" spans="2:14" ht="64.95" customHeight="1" x14ac:dyDescent="0.3">
      <c r="B76" s="38" t="s">
        <v>1338</v>
      </c>
      <c r="C76" s="39" t="s">
        <v>356</v>
      </c>
      <c r="D76" s="39">
        <v>3</v>
      </c>
      <c r="E76" s="40" t="s">
        <v>367</v>
      </c>
      <c r="F76" s="40" t="s">
        <v>1339</v>
      </c>
      <c r="G76" s="40" t="s">
        <v>1340</v>
      </c>
      <c r="H76" s="40" t="s">
        <v>1341</v>
      </c>
      <c r="I76" s="40" t="s">
        <v>370</v>
      </c>
      <c r="J76" s="40" t="s">
        <v>1205</v>
      </c>
      <c r="K76" s="40" t="s">
        <v>1333</v>
      </c>
      <c r="L76" s="41" t="s">
        <v>1033</v>
      </c>
      <c r="M76" s="42">
        <v>46281</v>
      </c>
      <c r="N76" s="40" t="s">
        <v>1034</v>
      </c>
    </row>
  </sheetData>
  <autoFilter ref="B4:N76" xr:uid="{00000000-0009-0000-0000-000004000000}"/>
  <mergeCells count="1">
    <mergeCell ref="B2:N2"/>
  </mergeCell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28"/>
  <sheetViews>
    <sheetView zoomScaleNormal="100" workbookViewId="0">
      <pane ySplit="4" topLeftCell="A5" activePane="bottomLeft" state="frozen"/>
      <selection pane="bottomLeft"/>
    </sheetView>
  </sheetViews>
  <sheetFormatPr baseColWidth="10" defaultColWidth="8.88671875" defaultRowHeight="14.4" x14ac:dyDescent="0.3"/>
  <cols>
    <col min="1" max="1" width="1.44140625" customWidth="1"/>
    <col min="2" max="2" width="34" customWidth="1"/>
    <col min="3" max="4" width="10" customWidth="1"/>
    <col min="5" max="5" width="26" customWidth="1"/>
    <col min="6" max="6" width="40" customWidth="1"/>
    <col min="7" max="7" width="36" customWidth="1"/>
    <col min="8" max="9" width="44" customWidth="1"/>
    <col min="10" max="10" width="18" customWidth="1"/>
    <col min="11" max="11" width="40" customWidth="1"/>
    <col min="12" max="12" width="16" customWidth="1"/>
    <col min="13" max="13" width="13" customWidth="1"/>
    <col min="14" max="14" width="40" customWidth="1"/>
  </cols>
  <sheetData>
    <row r="1" spans="2:14" ht="17.399999999999999" x14ac:dyDescent="0.3">
      <c r="B1" s="31" t="s">
        <v>1342</v>
      </c>
    </row>
    <row r="2" spans="2:14" ht="28.05" customHeight="1" x14ac:dyDescent="0.3">
      <c r="B2" s="65" t="s">
        <v>1014</v>
      </c>
      <c r="C2" s="65"/>
      <c r="D2" s="65"/>
      <c r="E2" s="65"/>
      <c r="F2" s="65"/>
      <c r="G2" s="65"/>
      <c r="H2" s="65"/>
      <c r="I2" s="65"/>
      <c r="J2" s="65"/>
      <c r="K2" s="65"/>
      <c r="L2" s="65"/>
      <c r="M2" s="65"/>
      <c r="N2" s="65"/>
    </row>
    <row r="4" spans="2:14" ht="31.95" customHeight="1" x14ac:dyDescent="0.3">
      <c r="B4" s="32" t="s">
        <v>1015</v>
      </c>
      <c r="C4" s="32" t="s">
        <v>1016</v>
      </c>
      <c r="D4" s="32" t="s">
        <v>1017</v>
      </c>
      <c r="E4" s="32" t="s">
        <v>1018</v>
      </c>
      <c r="F4" s="32" t="s">
        <v>926</v>
      </c>
      <c r="G4" s="32" t="s">
        <v>1019</v>
      </c>
      <c r="H4" s="32" t="s">
        <v>1020</v>
      </c>
      <c r="I4" s="32" t="s">
        <v>1021</v>
      </c>
      <c r="J4" s="32" t="s">
        <v>1022</v>
      </c>
      <c r="K4" s="32" t="s">
        <v>1023</v>
      </c>
      <c r="L4" s="32" t="s">
        <v>1024</v>
      </c>
      <c r="M4" s="32" t="s">
        <v>1025</v>
      </c>
      <c r="N4" s="32" t="s">
        <v>1026</v>
      </c>
    </row>
    <row r="5" spans="2:14" ht="64.95" customHeight="1" x14ac:dyDescent="0.3">
      <c r="B5" s="33" t="s">
        <v>1343</v>
      </c>
      <c r="C5" s="34" t="s">
        <v>387</v>
      </c>
      <c r="D5" s="34">
        <v>1</v>
      </c>
      <c r="E5" s="35" t="s">
        <v>390</v>
      </c>
      <c r="F5" s="35" t="s">
        <v>1344</v>
      </c>
      <c r="G5" s="35" t="s">
        <v>1345</v>
      </c>
      <c r="H5" s="35" t="s">
        <v>1346</v>
      </c>
      <c r="I5" s="35" t="s">
        <v>393</v>
      </c>
      <c r="J5" s="35" t="s">
        <v>1046</v>
      </c>
      <c r="K5" s="35" t="s">
        <v>1347</v>
      </c>
      <c r="L5" s="36" t="s">
        <v>1033</v>
      </c>
      <c r="M5" s="37">
        <v>46281</v>
      </c>
      <c r="N5" s="35" t="s">
        <v>1034</v>
      </c>
    </row>
    <row r="6" spans="2:14" ht="64.95" customHeight="1" x14ac:dyDescent="0.3">
      <c r="B6" s="38" t="s">
        <v>1348</v>
      </c>
      <c r="C6" s="39" t="s">
        <v>387</v>
      </c>
      <c r="D6" s="39">
        <v>2</v>
      </c>
      <c r="E6" s="40" t="s">
        <v>394</v>
      </c>
      <c r="F6" s="40" t="s">
        <v>1349</v>
      </c>
      <c r="G6" s="40" t="s">
        <v>1350</v>
      </c>
      <c r="H6" s="40" t="s">
        <v>1346</v>
      </c>
      <c r="I6" s="40" t="s">
        <v>396</v>
      </c>
      <c r="J6" s="40" t="s">
        <v>1046</v>
      </c>
      <c r="K6" s="40" t="s">
        <v>1347</v>
      </c>
      <c r="L6" s="41" t="s">
        <v>1033</v>
      </c>
      <c r="M6" s="42">
        <v>46281</v>
      </c>
      <c r="N6" s="40" t="s">
        <v>1034</v>
      </c>
    </row>
    <row r="7" spans="2:14" ht="64.95" customHeight="1" x14ac:dyDescent="0.3">
      <c r="B7" s="33" t="s">
        <v>1351</v>
      </c>
      <c r="C7" s="34" t="s">
        <v>387</v>
      </c>
      <c r="D7" s="34">
        <v>3</v>
      </c>
      <c r="E7" s="35" t="s">
        <v>397</v>
      </c>
      <c r="F7" s="35" t="s">
        <v>1352</v>
      </c>
      <c r="G7" s="35" t="s">
        <v>1353</v>
      </c>
      <c r="H7" s="35" t="s">
        <v>1346</v>
      </c>
      <c r="I7" s="35" t="s">
        <v>399</v>
      </c>
      <c r="J7" s="35" t="s">
        <v>1046</v>
      </c>
      <c r="K7" s="35" t="s">
        <v>1347</v>
      </c>
      <c r="L7" s="36" t="s">
        <v>1033</v>
      </c>
      <c r="M7" s="37">
        <v>46281</v>
      </c>
      <c r="N7" s="35" t="s">
        <v>1034</v>
      </c>
    </row>
    <row r="8" spans="2:14" ht="64.95" customHeight="1" x14ac:dyDescent="0.3">
      <c r="B8" s="38" t="s">
        <v>1354</v>
      </c>
      <c r="C8" s="39" t="s">
        <v>400</v>
      </c>
      <c r="D8" s="39">
        <v>1</v>
      </c>
      <c r="E8" s="40" t="s">
        <v>403</v>
      </c>
      <c r="F8" s="40" t="s">
        <v>1355</v>
      </c>
      <c r="G8" s="40" t="s">
        <v>1356</v>
      </c>
      <c r="H8" s="40" t="s">
        <v>1357</v>
      </c>
      <c r="I8" s="40" t="s">
        <v>406</v>
      </c>
      <c r="J8" s="40" t="s">
        <v>1046</v>
      </c>
      <c r="K8" s="40" t="s">
        <v>1358</v>
      </c>
      <c r="L8" s="41" t="s">
        <v>1033</v>
      </c>
      <c r="M8" s="42">
        <v>46281</v>
      </c>
      <c r="N8" s="40" t="s">
        <v>1034</v>
      </c>
    </row>
    <row r="9" spans="2:14" ht="64.95" customHeight="1" x14ac:dyDescent="0.3">
      <c r="B9" s="33" t="s">
        <v>1359</v>
      </c>
      <c r="C9" s="34" t="s">
        <v>400</v>
      </c>
      <c r="D9" s="34">
        <v>2</v>
      </c>
      <c r="E9" s="35" t="s">
        <v>407</v>
      </c>
      <c r="F9" s="35" t="s">
        <v>1360</v>
      </c>
      <c r="G9" s="35" t="s">
        <v>1361</v>
      </c>
      <c r="H9" s="35" t="s">
        <v>1362</v>
      </c>
      <c r="I9" s="35" t="s">
        <v>410</v>
      </c>
      <c r="J9" s="35" t="s">
        <v>1046</v>
      </c>
      <c r="K9" s="35" t="s">
        <v>1358</v>
      </c>
      <c r="L9" s="36" t="s">
        <v>1033</v>
      </c>
      <c r="M9" s="37">
        <v>46281</v>
      </c>
      <c r="N9" s="35" t="s">
        <v>1034</v>
      </c>
    </row>
    <row r="10" spans="2:14" ht="64.95" customHeight="1" x14ac:dyDescent="0.3">
      <c r="B10" s="38" t="s">
        <v>1363</v>
      </c>
      <c r="C10" s="39" t="s">
        <v>400</v>
      </c>
      <c r="D10" s="39">
        <v>3</v>
      </c>
      <c r="E10" s="40" t="s">
        <v>411</v>
      </c>
      <c r="F10" s="40" t="s">
        <v>1364</v>
      </c>
      <c r="G10" s="40" t="s">
        <v>1365</v>
      </c>
      <c r="H10" s="40" t="s">
        <v>1366</v>
      </c>
      <c r="I10" s="40" t="s">
        <v>414</v>
      </c>
      <c r="J10" s="40" t="s">
        <v>1046</v>
      </c>
      <c r="K10" s="40" t="s">
        <v>1358</v>
      </c>
      <c r="L10" s="41" t="s">
        <v>1033</v>
      </c>
      <c r="M10" s="42">
        <v>46281</v>
      </c>
      <c r="N10" s="40" t="s">
        <v>1034</v>
      </c>
    </row>
    <row r="11" spans="2:14" ht="64.95" customHeight="1" x14ac:dyDescent="0.3">
      <c r="B11" s="33" t="s">
        <v>1367</v>
      </c>
      <c r="C11" s="34" t="s">
        <v>415</v>
      </c>
      <c r="D11" s="34">
        <v>1</v>
      </c>
      <c r="E11" s="35" t="s">
        <v>418</v>
      </c>
      <c r="F11" s="35" t="s">
        <v>1368</v>
      </c>
      <c r="G11" s="35" t="s">
        <v>1369</v>
      </c>
      <c r="H11" s="35" t="s">
        <v>1370</v>
      </c>
      <c r="I11" s="35" t="s">
        <v>421</v>
      </c>
      <c r="J11" s="35" t="s">
        <v>1046</v>
      </c>
      <c r="K11" s="35" t="s">
        <v>1371</v>
      </c>
      <c r="L11" s="36" t="s">
        <v>1033</v>
      </c>
      <c r="M11" s="37">
        <v>46281</v>
      </c>
      <c r="N11" s="35" t="s">
        <v>1034</v>
      </c>
    </row>
    <row r="12" spans="2:14" ht="64.95" customHeight="1" x14ac:dyDescent="0.3">
      <c r="B12" s="38" t="s">
        <v>1372</v>
      </c>
      <c r="C12" s="39" t="s">
        <v>415</v>
      </c>
      <c r="D12" s="39">
        <v>2</v>
      </c>
      <c r="E12" s="40" t="s">
        <v>422</v>
      </c>
      <c r="F12" s="40" t="s">
        <v>1373</v>
      </c>
      <c r="G12" s="40" t="s">
        <v>1374</v>
      </c>
      <c r="H12" s="40" t="s">
        <v>1375</v>
      </c>
      <c r="I12" s="40" t="s">
        <v>425</v>
      </c>
      <c r="J12" s="40" t="s">
        <v>1046</v>
      </c>
      <c r="K12" s="40" t="s">
        <v>1371</v>
      </c>
      <c r="L12" s="41" t="s">
        <v>1033</v>
      </c>
      <c r="M12" s="42">
        <v>46281</v>
      </c>
      <c r="N12" s="40" t="s">
        <v>1034</v>
      </c>
    </row>
    <row r="13" spans="2:14" ht="64.95" customHeight="1" x14ac:dyDescent="0.3">
      <c r="B13" s="33" t="s">
        <v>1376</v>
      </c>
      <c r="C13" s="34" t="s">
        <v>415</v>
      </c>
      <c r="D13" s="34">
        <v>3</v>
      </c>
      <c r="E13" s="35" t="s">
        <v>426</v>
      </c>
      <c r="F13" s="35" t="s">
        <v>1377</v>
      </c>
      <c r="G13" s="35" t="s">
        <v>1378</v>
      </c>
      <c r="H13" s="35" t="s">
        <v>1379</v>
      </c>
      <c r="I13" s="35" t="s">
        <v>429</v>
      </c>
      <c r="J13" s="35" t="s">
        <v>1046</v>
      </c>
      <c r="K13" s="35" t="s">
        <v>1371</v>
      </c>
      <c r="L13" s="36" t="s">
        <v>1033</v>
      </c>
      <c r="M13" s="37">
        <v>46281</v>
      </c>
      <c r="N13" s="35" t="s">
        <v>1034</v>
      </c>
    </row>
    <row r="14" spans="2:14" ht="60" customHeight="1" x14ac:dyDescent="0.3">
      <c r="B14" s="38" t="s">
        <v>1380</v>
      </c>
      <c r="C14" s="39" t="s">
        <v>430</v>
      </c>
      <c r="D14" s="39">
        <v>1</v>
      </c>
      <c r="E14" s="40" t="s">
        <v>433</v>
      </c>
      <c r="F14" s="40" t="s">
        <v>1381</v>
      </c>
      <c r="G14" s="40" t="s">
        <v>1382</v>
      </c>
      <c r="H14" s="40" t="s">
        <v>1383</v>
      </c>
      <c r="I14" s="40" t="s">
        <v>436</v>
      </c>
      <c r="J14" s="40" t="s">
        <v>1046</v>
      </c>
      <c r="K14" s="40" t="s">
        <v>1384</v>
      </c>
      <c r="L14" s="41" t="s">
        <v>1033</v>
      </c>
      <c r="M14" s="42">
        <v>46281</v>
      </c>
      <c r="N14" s="40" t="s">
        <v>1034</v>
      </c>
    </row>
    <row r="15" spans="2:14" ht="60" customHeight="1" x14ac:dyDescent="0.3">
      <c r="B15" s="33" t="s">
        <v>1385</v>
      </c>
      <c r="C15" s="34" t="s">
        <v>430</v>
      </c>
      <c r="D15" s="34">
        <v>2</v>
      </c>
      <c r="E15" s="35" t="s">
        <v>437</v>
      </c>
      <c r="F15" s="35" t="s">
        <v>1386</v>
      </c>
      <c r="G15" s="35" t="s">
        <v>1387</v>
      </c>
      <c r="H15" s="35" t="s">
        <v>1388</v>
      </c>
      <c r="I15" s="35" t="s">
        <v>440</v>
      </c>
      <c r="J15" s="35" t="s">
        <v>1046</v>
      </c>
      <c r="K15" s="35" t="s">
        <v>1384</v>
      </c>
      <c r="L15" s="36" t="s">
        <v>1033</v>
      </c>
      <c r="M15" s="37">
        <v>46281</v>
      </c>
      <c r="N15" s="35" t="s">
        <v>1034</v>
      </c>
    </row>
    <row r="16" spans="2:14" ht="60" customHeight="1" x14ac:dyDescent="0.3">
      <c r="B16" s="38" t="s">
        <v>1389</v>
      </c>
      <c r="C16" s="39" t="s">
        <v>430</v>
      </c>
      <c r="D16" s="39">
        <v>3</v>
      </c>
      <c r="E16" s="40" t="s">
        <v>441</v>
      </c>
      <c r="F16" s="40" t="s">
        <v>1390</v>
      </c>
      <c r="G16" s="40" t="s">
        <v>1391</v>
      </c>
      <c r="H16" s="40" t="s">
        <v>1392</v>
      </c>
      <c r="I16" s="40" t="s">
        <v>444</v>
      </c>
      <c r="J16" s="40" t="s">
        <v>1046</v>
      </c>
      <c r="K16" s="40" t="s">
        <v>1384</v>
      </c>
      <c r="L16" s="41" t="s">
        <v>1033</v>
      </c>
      <c r="M16" s="42">
        <v>46281</v>
      </c>
      <c r="N16" s="40" t="s">
        <v>1034</v>
      </c>
    </row>
    <row r="17" spans="2:14" ht="64.95" customHeight="1" x14ac:dyDescent="0.3">
      <c r="B17" s="33" t="s">
        <v>1393</v>
      </c>
      <c r="C17" s="34" t="s">
        <v>445</v>
      </c>
      <c r="D17" s="34">
        <v>1</v>
      </c>
      <c r="E17" s="35" t="s">
        <v>448</v>
      </c>
      <c r="F17" s="35" t="s">
        <v>1394</v>
      </c>
      <c r="G17" s="35" t="s">
        <v>1395</v>
      </c>
      <c r="H17" s="35" t="s">
        <v>1396</v>
      </c>
      <c r="I17" s="35" t="s">
        <v>451</v>
      </c>
      <c r="J17" s="35" t="s">
        <v>1205</v>
      </c>
      <c r="K17" s="35" t="s">
        <v>1397</v>
      </c>
      <c r="L17" s="36" t="s">
        <v>1033</v>
      </c>
      <c r="M17" s="37">
        <v>46281</v>
      </c>
      <c r="N17" s="35" t="s">
        <v>1034</v>
      </c>
    </row>
    <row r="18" spans="2:14" ht="64.95" customHeight="1" x14ac:dyDescent="0.3">
      <c r="B18" s="38" t="s">
        <v>1398</v>
      </c>
      <c r="C18" s="39" t="s">
        <v>445</v>
      </c>
      <c r="D18" s="39">
        <v>2</v>
      </c>
      <c r="E18" s="40" t="s">
        <v>452</v>
      </c>
      <c r="F18" s="40" t="s">
        <v>1399</v>
      </c>
      <c r="G18" s="40" t="s">
        <v>1400</v>
      </c>
      <c r="H18" s="40" t="s">
        <v>1401</v>
      </c>
      <c r="I18" s="40" t="s">
        <v>455</v>
      </c>
      <c r="J18" s="40" t="s">
        <v>1205</v>
      </c>
      <c r="K18" s="40" t="s">
        <v>1397</v>
      </c>
      <c r="L18" s="41" t="s">
        <v>1033</v>
      </c>
      <c r="M18" s="42">
        <v>46281</v>
      </c>
      <c r="N18" s="40" t="s">
        <v>1034</v>
      </c>
    </row>
    <row r="19" spans="2:14" ht="64.95" customHeight="1" x14ac:dyDescent="0.3">
      <c r="B19" s="33" t="s">
        <v>1402</v>
      </c>
      <c r="C19" s="34" t="s">
        <v>445</v>
      </c>
      <c r="D19" s="34">
        <v>3</v>
      </c>
      <c r="E19" s="35" t="s">
        <v>456</v>
      </c>
      <c r="F19" s="35" t="s">
        <v>1403</v>
      </c>
      <c r="G19" s="35" t="s">
        <v>1404</v>
      </c>
      <c r="H19" s="35" t="s">
        <v>1405</v>
      </c>
      <c r="I19" s="35" t="s">
        <v>458</v>
      </c>
      <c r="J19" s="35" t="s">
        <v>1205</v>
      </c>
      <c r="K19" s="35" t="s">
        <v>1397</v>
      </c>
      <c r="L19" s="36" t="s">
        <v>1033</v>
      </c>
      <c r="M19" s="37">
        <v>46281</v>
      </c>
      <c r="N19" s="35" t="s">
        <v>1034</v>
      </c>
    </row>
    <row r="20" spans="2:14" ht="64.95" customHeight="1" x14ac:dyDescent="0.3">
      <c r="B20" s="38" t="s">
        <v>1406</v>
      </c>
      <c r="C20" s="39" t="s">
        <v>459</v>
      </c>
      <c r="D20" s="39">
        <v>1</v>
      </c>
      <c r="E20" s="40" t="s">
        <v>462</v>
      </c>
      <c r="F20" s="40" t="s">
        <v>1407</v>
      </c>
      <c r="G20" s="40" t="s">
        <v>1408</v>
      </c>
      <c r="H20" s="40" t="s">
        <v>1409</v>
      </c>
      <c r="I20" s="40" t="s">
        <v>465</v>
      </c>
      <c r="J20" s="40" t="s">
        <v>1205</v>
      </c>
      <c r="K20" s="40" t="s">
        <v>1410</v>
      </c>
      <c r="L20" s="41" t="s">
        <v>1033</v>
      </c>
      <c r="M20" s="42">
        <v>46281</v>
      </c>
      <c r="N20" s="40" t="s">
        <v>1034</v>
      </c>
    </row>
    <row r="21" spans="2:14" ht="64.95" customHeight="1" x14ac:dyDescent="0.3">
      <c r="B21" s="33" t="s">
        <v>1411</v>
      </c>
      <c r="C21" s="34" t="s">
        <v>459</v>
      </c>
      <c r="D21" s="34">
        <v>2</v>
      </c>
      <c r="E21" s="35" t="s">
        <v>466</v>
      </c>
      <c r="F21" s="35" t="s">
        <v>1412</v>
      </c>
      <c r="G21" s="35" t="s">
        <v>1408</v>
      </c>
      <c r="H21" s="35" t="s">
        <v>1413</v>
      </c>
      <c r="I21" s="35" t="s">
        <v>468</v>
      </c>
      <c r="J21" s="35" t="s">
        <v>1205</v>
      </c>
      <c r="K21" s="35" t="s">
        <v>1410</v>
      </c>
      <c r="L21" s="36" t="s">
        <v>1033</v>
      </c>
      <c r="M21" s="37">
        <v>46281</v>
      </c>
      <c r="N21" s="35" t="s">
        <v>1034</v>
      </c>
    </row>
    <row r="22" spans="2:14" ht="64.95" customHeight="1" x14ac:dyDescent="0.3">
      <c r="B22" s="38" t="s">
        <v>1414</v>
      </c>
      <c r="C22" s="39" t="s">
        <v>459</v>
      </c>
      <c r="D22" s="39">
        <v>3</v>
      </c>
      <c r="E22" s="40" t="s">
        <v>469</v>
      </c>
      <c r="F22" s="40" t="s">
        <v>1415</v>
      </c>
      <c r="G22" s="40" t="s">
        <v>1416</v>
      </c>
      <c r="H22" s="40" t="s">
        <v>1417</v>
      </c>
      <c r="I22" s="40" t="s">
        <v>472</v>
      </c>
      <c r="J22" s="40" t="s">
        <v>1205</v>
      </c>
      <c r="K22" s="40" t="s">
        <v>1410</v>
      </c>
      <c r="L22" s="41" t="s">
        <v>1033</v>
      </c>
      <c r="M22" s="42">
        <v>46281</v>
      </c>
      <c r="N22" s="40" t="s">
        <v>1034</v>
      </c>
    </row>
    <row r="23" spans="2:14" ht="60" customHeight="1" x14ac:dyDescent="0.3">
      <c r="B23" s="33" t="s">
        <v>1418</v>
      </c>
      <c r="C23" s="34" t="s">
        <v>473</v>
      </c>
      <c r="D23" s="34">
        <v>1</v>
      </c>
      <c r="E23" s="35" t="s">
        <v>476</v>
      </c>
      <c r="F23" s="35" t="s">
        <v>1419</v>
      </c>
      <c r="G23" s="35" t="s">
        <v>1420</v>
      </c>
      <c r="H23" s="35" t="s">
        <v>1421</v>
      </c>
      <c r="I23" s="35" t="s">
        <v>479</v>
      </c>
      <c r="J23" s="35" t="s">
        <v>1205</v>
      </c>
      <c r="K23" s="35" t="s">
        <v>1422</v>
      </c>
      <c r="L23" s="36" t="s">
        <v>1033</v>
      </c>
      <c r="M23" s="37">
        <v>46281</v>
      </c>
      <c r="N23" s="35" t="s">
        <v>1034</v>
      </c>
    </row>
    <row r="24" spans="2:14" ht="60" customHeight="1" x14ac:dyDescent="0.3">
      <c r="B24" s="38" t="s">
        <v>1423</v>
      </c>
      <c r="C24" s="39" t="s">
        <v>473</v>
      </c>
      <c r="D24" s="39">
        <v>2</v>
      </c>
      <c r="E24" s="40" t="s">
        <v>480</v>
      </c>
      <c r="F24" s="40" t="s">
        <v>1424</v>
      </c>
      <c r="G24" s="40" t="s">
        <v>1425</v>
      </c>
      <c r="H24" s="40" t="s">
        <v>1426</v>
      </c>
      <c r="I24" s="40" t="s">
        <v>482</v>
      </c>
      <c r="J24" s="40" t="s">
        <v>1205</v>
      </c>
      <c r="K24" s="40" t="s">
        <v>1422</v>
      </c>
      <c r="L24" s="41" t="s">
        <v>1033</v>
      </c>
      <c r="M24" s="42">
        <v>46281</v>
      </c>
      <c r="N24" s="40" t="s">
        <v>1034</v>
      </c>
    </row>
    <row r="25" spans="2:14" ht="64.95" customHeight="1" x14ac:dyDescent="0.3">
      <c r="B25" s="33" t="s">
        <v>1427</v>
      </c>
      <c r="C25" s="34" t="s">
        <v>473</v>
      </c>
      <c r="D25" s="34">
        <v>3</v>
      </c>
      <c r="E25" s="35" t="s">
        <v>101</v>
      </c>
      <c r="F25" s="35" t="s">
        <v>1428</v>
      </c>
      <c r="G25" s="35" t="s">
        <v>1429</v>
      </c>
      <c r="H25" s="35" t="s">
        <v>1430</v>
      </c>
      <c r="I25" s="35" t="s">
        <v>484</v>
      </c>
      <c r="J25" s="35" t="s">
        <v>1205</v>
      </c>
      <c r="K25" s="35" t="s">
        <v>1422</v>
      </c>
      <c r="L25" s="36" t="s">
        <v>1033</v>
      </c>
      <c r="M25" s="37">
        <v>46281</v>
      </c>
      <c r="N25" s="35" t="s">
        <v>1034</v>
      </c>
    </row>
    <row r="26" spans="2:14" ht="64.95" customHeight="1" x14ac:dyDescent="0.3">
      <c r="B26" s="38" t="s">
        <v>1431</v>
      </c>
      <c r="C26" s="39" t="s">
        <v>485</v>
      </c>
      <c r="D26" s="39">
        <v>1</v>
      </c>
      <c r="E26" s="40" t="s">
        <v>488</v>
      </c>
      <c r="F26" s="40" t="s">
        <v>1432</v>
      </c>
      <c r="G26" s="40" t="s">
        <v>1433</v>
      </c>
      <c r="H26" s="40" t="s">
        <v>1434</v>
      </c>
      <c r="I26" s="40" t="s">
        <v>490</v>
      </c>
      <c r="J26" s="40" t="s">
        <v>1205</v>
      </c>
      <c r="K26" s="40" t="s">
        <v>1435</v>
      </c>
      <c r="L26" s="41" t="s">
        <v>1033</v>
      </c>
      <c r="M26" s="42">
        <v>46281</v>
      </c>
      <c r="N26" s="40" t="s">
        <v>1034</v>
      </c>
    </row>
    <row r="27" spans="2:14" ht="64.95" customHeight="1" x14ac:dyDescent="0.3">
      <c r="B27" s="33" t="s">
        <v>1436</v>
      </c>
      <c r="C27" s="34" t="s">
        <v>485</v>
      </c>
      <c r="D27" s="34">
        <v>2</v>
      </c>
      <c r="E27" s="35" t="s">
        <v>491</v>
      </c>
      <c r="F27" s="35" t="s">
        <v>1437</v>
      </c>
      <c r="G27" s="35" t="s">
        <v>1438</v>
      </c>
      <c r="H27" s="35" t="s">
        <v>1439</v>
      </c>
      <c r="I27" s="35" t="s">
        <v>493</v>
      </c>
      <c r="J27" s="35" t="s">
        <v>1205</v>
      </c>
      <c r="K27" s="35" t="s">
        <v>1435</v>
      </c>
      <c r="L27" s="36" t="s">
        <v>1033</v>
      </c>
      <c r="M27" s="37">
        <v>46281</v>
      </c>
      <c r="N27" s="35" t="s">
        <v>1034</v>
      </c>
    </row>
    <row r="28" spans="2:14" ht="64.95" customHeight="1" x14ac:dyDescent="0.3">
      <c r="B28" s="38" t="s">
        <v>1440</v>
      </c>
      <c r="C28" s="39" t="s">
        <v>485</v>
      </c>
      <c r="D28" s="39">
        <v>3</v>
      </c>
      <c r="E28" s="40" t="s">
        <v>494</v>
      </c>
      <c r="F28" s="40" t="s">
        <v>1441</v>
      </c>
      <c r="G28" s="40" t="s">
        <v>1442</v>
      </c>
      <c r="H28" s="40" t="s">
        <v>1443</v>
      </c>
      <c r="I28" s="40" t="s">
        <v>496</v>
      </c>
      <c r="J28" s="40" t="s">
        <v>1205</v>
      </c>
      <c r="K28" s="40" t="s">
        <v>1435</v>
      </c>
      <c r="L28" s="41" t="s">
        <v>1033</v>
      </c>
      <c r="M28" s="42">
        <v>46281</v>
      </c>
      <c r="N28" s="40" t="s">
        <v>1034</v>
      </c>
    </row>
  </sheetData>
  <autoFilter ref="B4:N28" xr:uid="{00000000-0009-0000-0000-000005000000}"/>
  <mergeCells count="1">
    <mergeCell ref="B2:N2"/>
  </mergeCells>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38"/>
  <sheetViews>
    <sheetView zoomScaleNormal="100" workbookViewId="0">
      <pane ySplit="4" topLeftCell="A5" activePane="bottomLeft" state="frozen"/>
      <selection pane="bottomLeft"/>
    </sheetView>
  </sheetViews>
  <sheetFormatPr baseColWidth="10" defaultColWidth="8.88671875" defaultRowHeight="14.4" x14ac:dyDescent="0.3"/>
  <cols>
    <col min="1" max="1" width="1.44140625" customWidth="1"/>
    <col min="2" max="2" width="34" customWidth="1"/>
    <col min="3" max="4" width="10" customWidth="1"/>
    <col min="5" max="5" width="26" customWidth="1"/>
    <col min="6" max="6" width="40" customWidth="1"/>
    <col min="7" max="7" width="36" customWidth="1"/>
    <col min="8" max="9" width="44" customWidth="1"/>
    <col min="10" max="10" width="18" customWidth="1"/>
    <col min="11" max="11" width="40" customWidth="1"/>
    <col min="12" max="12" width="16" customWidth="1"/>
    <col min="13" max="13" width="13" customWidth="1"/>
    <col min="14" max="14" width="40" customWidth="1"/>
  </cols>
  <sheetData>
    <row r="1" spans="2:14" ht="17.399999999999999" x14ac:dyDescent="0.3">
      <c r="B1" s="31" t="s">
        <v>1444</v>
      </c>
    </row>
    <row r="2" spans="2:14" ht="28.05" customHeight="1" x14ac:dyDescent="0.3">
      <c r="B2" s="65" t="s">
        <v>1014</v>
      </c>
      <c r="C2" s="65"/>
      <c r="D2" s="65"/>
      <c r="E2" s="65"/>
      <c r="F2" s="65"/>
      <c r="G2" s="65"/>
      <c r="H2" s="65"/>
      <c r="I2" s="65"/>
      <c r="J2" s="65"/>
      <c r="K2" s="65"/>
      <c r="L2" s="65"/>
      <c r="M2" s="65"/>
      <c r="N2" s="65"/>
    </row>
    <row r="4" spans="2:14" ht="31.95" customHeight="1" x14ac:dyDescent="0.3">
      <c r="B4" s="32" t="s">
        <v>1015</v>
      </c>
      <c r="C4" s="32" t="s">
        <v>1016</v>
      </c>
      <c r="D4" s="32" t="s">
        <v>1017</v>
      </c>
      <c r="E4" s="32" t="s">
        <v>1018</v>
      </c>
      <c r="F4" s="32" t="s">
        <v>926</v>
      </c>
      <c r="G4" s="32" t="s">
        <v>1019</v>
      </c>
      <c r="H4" s="32" t="s">
        <v>1020</v>
      </c>
      <c r="I4" s="32" t="s">
        <v>1021</v>
      </c>
      <c r="J4" s="32" t="s">
        <v>1022</v>
      </c>
      <c r="K4" s="32" t="s">
        <v>1023</v>
      </c>
      <c r="L4" s="32" t="s">
        <v>1024</v>
      </c>
      <c r="M4" s="32" t="s">
        <v>1025</v>
      </c>
      <c r="N4" s="32" t="s">
        <v>1026</v>
      </c>
    </row>
    <row r="5" spans="2:14" ht="60" customHeight="1" x14ac:dyDescent="0.3">
      <c r="B5" s="33" t="s">
        <v>1445</v>
      </c>
      <c r="C5" s="34" t="s">
        <v>190</v>
      </c>
      <c r="D5" s="34">
        <v>1</v>
      </c>
      <c r="E5" s="35" t="s">
        <v>193</v>
      </c>
      <c r="F5" s="35" t="s">
        <v>1446</v>
      </c>
      <c r="G5" s="35" t="s">
        <v>1447</v>
      </c>
      <c r="H5" s="35" t="s">
        <v>1448</v>
      </c>
      <c r="I5" s="35" t="s">
        <v>196</v>
      </c>
      <c r="J5" s="35" t="s">
        <v>1031</v>
      </c>
      <c r="K5" s="35" t="s">
        <v>1449</v>
      </c>
      <c r="L5" s="36" t="s">
        <v>1033</v>
      </c>
      <c r="M5" s="37">
        <v>46311</v>
      </c>
      <c r="N5" s="35" t="s">
        <v>1450</v>
      </c>
    </row>
    <row r="6" spans="2:14" ht="60" customHeight="1" x14ac:dyDescent="0.3">
      <c r="B6" s="38" t="s">
        <v>1451</v>
      </c>
      <c r="C6" s="39" t="s">
        <v>190</v>
      </c>
      <c r="D6" s="39">
        <v>2</v>
      </c>
      <c r="E6" s="40" t="s">
        <v>197</v>
      </c>
      <c r="F6" s="40" t="s">
        <v>1452</v>
      </c>
      <c r="G6" s="40" t="s">
        <v>1453</v>
      </c>
      <c r="H6" s="40" t="s">
        <v>1454</v>
      </c>
      <c r="I6" s="40" t="s">
        <v>200</v>
      </c>
      <c r="J6" s="40" t="s">
        <v>1031</v>
      </c>
      <c r="K6" s="40" t="s">
        <v>1455</v>
      </c>
      <c r="L6" s="41" t="s">
        <v>1033</v>
      </c>
      <c r="M6" s="42">
        <v>46311</v>
      </c>
      <c r="N6" s="40" t="s">
        <v>1450</v>
      </c>
    </row>
    <row r="7" spans="2:14" ht="60" customHeight="1" x14ac:dyDescent="0.3">
      <c r="B7" s="33" t="s">
        <v>1456</v>
      </c>
      <c r="C7" s="34" t="s">
        <v>190</v>
      </c>
      <c r="D7" s="34">
        <v>3</v>
      </c>
      <c r="E7" s="35" t="s">
        <v>201</v>
      </c>
      <c r="F7" s="35" t="s">
        <v>1457</v>
      </c>
      <c r="G7" s="35" t="s">
        <v>1458</v>
      </c>
      <c r="H7" s="35" t="s">
        <v>1459</v>
      </c>
      <c r="I7" s="35" t="s">
        <v>204</v>
      </c>
      <c r="J7" s="35" t="s">
        <v>1031</v>
      </c>
      <c r="K7" s="35" t="s">
        <v>1455</v>
      </c>
      <c r="L7" s="36" t="s">
        <v>1033</v>
      </c>
      <c r="M7" s="37">
        <v>46311</v>
      </c>
      <c r="N7" s="35" t="s">
        <v>1450</v>
      </c>
    </row>
    <row r="8" spans="2:14" ht="60" customHeight="1" x14ac:dyDescent="0.3">
      <c r="B8" s="38" t="s">
        <v>1460</v>
      </c>
      <c r="C8" s="39" t="s">
        <v>371</v>
      </c>
      <c r="D8" s="39">
        <v>1</v>
      </c>
      <c r="E8" s="40" t="s">
        <v>374</v>
      </c>
      <c r="F8" s="40" t="s">
        <v>1461</v>
      </c>
      <c r="G8" s="40" t="s">
        <v>1462</v>
      </c>
      <c r="H8" s="40" t="s">
        <v>1463</v>
      </c>
      <c r="I8" s="40" t="s">
        <v>377</v>
      </c>
      <c r="J8" s="40" t="s">
        <v>1193</v>
      </c>
      <c r="K8" s="40" t="s">
        <v>1464</v>
      </c>
      <c r="L8" s="41" t="s">
        <v>1033</v>
      </c>
      <c r="M8" s="42">
        <v>46311</v>
      </c>
      <c r="N8" s="40" t="s">
        <v>1450</v>
      </c>
    </row>
    <row r="9" spans="2:14" ht="60" customHeight="1" x14ac:dyDescent="0.3">
      <c r="B9" s="33" t="s">
        <v>1465</v>
      </c>
      <c r="C9" s="34" t="s">
        <v>371</v>
      </c>
      <c r="D9" s="34">
        <v>2</v>
      </c>
      <c r="E9" s="35" t="s">
        <v>378</v>
      </c>
      <c r="F9" s="35" t="s">
        <v>1466</v>
      </c>
      <c r="G9" s="35" t="s">
        <v>1467</v>
      </c>
      <c r="H9" s="35" t="s">
        <v>1468</v>
      </c>
      <c r="I9" s="35" t="s">
        <v>381</v>
      </c>
      <c r="J9" s="35" t="s">
        <v>1187</v>
      </c>
      <c r="K9" s="35" t="s">
        <v>1469</v>
      </c>
      <c r="L9" s="36" t="s">
        <v>1033</v>
      </c>
      <c r="M9" s="37">
        <v>46311</v>
      </c>
      <c r="N9" s="35" t="s">
        <v>1450</v>
      </c>
    </row>
    <row r="10" spans="2:14" ht="64.95" customHeight="1" x14ac:dyDescent="0.3">
      <c r="B10" s="38" t="s">
        <v>1470</v>
      </c>
      <c r="C10" s="39" t="s">
        <v>371</v>
      </c>
      <c r="D10" s="39">
        <v>3</v>
      </c>
      <c r="E10" s="40" t="s">
        <v>382</v>
      </c>
      <c r="F10" s="40" t="s">
        <v>1471</v>
      </c>
      <c r="G10" s="40" t="s">
        <v>1472</v>
      </c>
      <c r="H10" s="40" t="s">
        <v>1473</v>
      </c>
      <c r="I10" s="40" t="s">
        <v>385</v>
      </c>
      <c r="J10" s="40" t="s">
        <v>1187</v>
      </c>
      <c r="K10" s="40" t="s">
        <v>1469</v>
      </c>
      <c r="L10" s="44" t="s">
        <v>1199</v>
      </c>
      <c r="M10" s="42">
        <v>46311</v>
      </c>
      <c r="N10" s="40" t="s">
        <v>1474</v>
      </c>
    </row>
    <row r="11" spans="2:14" ht="60" customHeight="1" x14ac:dyDescent="0.3">
      <c r="B11" s="33" t="s">
        <v>1475</v>
      </c>
      <c r="C11" s="34" t="s">
        <v>498</v>
      </c>
      <c r="D11" s="34">
        <v>1</v>
      </c>
      <c r="E11" s="35" t="s">
        <v>501</v>
      </c>
      <c r="F11" s="35" t="s">
        <v>1476</v>
      </c>
      <c r="G11" s="35" t="s">
        <v>1477</v>
      </c>
      <c r="H11" s="35" t="s">
        <v>1478</v>
      </c>
      <c r="I11" s="35" t="s">
        <v>504</v>
      </c>
      <c r="J11" s="35" t="s">
        <v>1046</v>
      </c>
      <c r="K11" s="35" t="s">
        <v>1479</v>
      </c>
      <c r="L11" s="36" t="s">
        <v>1033</v>
      </c>
      <c r="M11" s="37">
        <v>46311</v>
      </c>
      <c r="N11" s="35" t="s">
        <v>1480</v>
      </c>
    </row>
    <row r="12" spans="2:14" ht="60" customHeight="1" x14ac:dyDescent="0.3">
      <c r="B12" s="38" t="s">
        <v>1481</v>
      </c>
      <c r="C12" s="39" t="s">
        <v>498</v>
      </c>
      <c r="D12" s="39">
        <v>2</v>
      </c>
      <c r="E12" s="40" t="s">
        <v>505</v>
      </c>
      <c r="F12" s="40" t="s">
        <v>1482</v>
      </c>
      <c r="G12" s="40" t="s">
        <v>1483</v>
      </c>
      <c r="H12" s="40" t="s">
        <v>1478</v>
      </c>
      <c r="I12" s="40" t="s">
        <v>507</v>
      </c>
      <c r="J12" s="40" t="s">
        <v>1046</v>
      </c>
      <c r="K12" s="40" t="s">
        <v>1479</v>
      </c>
      <c r="L12" s="41" t="s">
        <v>1033</v>
      </c>
      <c r="M12" s="42">
        <v>46311</v>
      </c>
      <c r="N12" s="40" t="s">
        <v>1480</v>
      </c>
    </row>
    <row r="13" spans="2:14" ht="64.95" customHeight="1" x14ac:dyDescent="0.3">
      <c r="B13" s="33" t="s">
        <v>1484</v>
      </c>
      <c r="C13" s="34" t="s">
        <v>498</v>
      </c>
      <c r="D13" s="34">
        <v>3</v>
      </c>
      <c r="E13" s="35" t="s">
        <v>508</v>
      </c>
      <c r="F13" s="35" t="s">
        <v>1485</v>
      </c>
      <c r="G13" s="35" t="s">
        <v>1486</v>
      </c>
      <c r="H13" s="35" t="s">
        <v>1478</v>
      </c>
      <c r="I13" s="35" t="s">
        <v>510</v>
      </c>
      <c r="J13" s="35" t="s">
        <v>1046</v>
      </c>
      <c r="K13" s="35" t="s">
        <v>1479</v>
      </c>
      <c r="L13" s="36" t="s">
        <v>1033</v>
      </c>
      <c r="M13" s="37">
        <v>46311</v>
      </c>
      <c r="N13" s="35" t="s">
        <v>1480</v>
      </c>
    </row>
    <row r="14" spans="2:14" ht="60" customHeight="1" x14ac:dyDescent="0.3">
      <c r="B14" s="38" t="s">
        <v>1487</v>
      </c>
      <c r="C14" s="39" t="s">
        <v>511</v>
      </c>
      <c r="D14" s="39">
        <v>1</v>
      </c>
      <c r="E14" s="40" t="s">
        <v>514</v>
      </c>
      <c r="F14" s="40" t="s">
        <v>1488</v>
      </c>
      <c r="G14" s="40" t="s">
        <v>1489</v>
      </c>
      <c r="H14" s="40" t="s">
        <v>1490</v>
      </c>
      <c r="I14" s="40" t="s">
        <v>517</v>
      </c>
      <c r="J14" s="40" t="s">
        <v>1046</v>
      </c>
      <c r="K14" s="40" t="s">
        <v>1491</v>
      </c>
      <c r="L14" s="41" t="s">
        <v>1033</v>
      </c>
      <c r="M14" s="42">
        <v>46311</v>
      </c>
      <c r="N14" s="40" t="s">
        <v>1480</v>
      </c>
    </row>
    <row r="15" spans="2:14" ht="64.95" customHeight="1" x14ac:dyDescent="0.3">
      <c r="B15" s="33" t="s">
        <v>1492</v>
      </c>
      <c r="C15" s="34" t="s">
        <v>511</v>
      </c>
      <c r="D15" s="34">
        <v>2</v>
      </c>
      <c r="E15" s="35" t="s">
        <v>518</v>
      </c>
      <c r="F15" s="35" t="s">
        <v>1493</v>
      </c>
      <c r="G15" s="35" t="s">
        <v>1494</v>
      </c>
      <c r="H15" s="35" t="s">
        <v>1495</v>
      </c>
      <c r="I15" s="35" t="s">
        <v>521</v>
      </c>
      <c r="J15" s="35" t="s">
        <v>1046</v>
      </c>
      <c r="K15" s="35" t="s">
        <v>1491</v>
      </c>
      <c r="L15" s="36" t="s">
        <v>1033</v>
      </c>
      <c r="M15" s="37">
        <v>46311</v>
      </c>
      <c r="N15" s="35" t="s">
        <v>1480</v>
      </c>
    </row>
    <row r="16" spans="2:14" ht="64.95" customHeight="1" x14ac:dyDescent="0.3">
      <c r="B16" s="38" t="s">
        <v>1496</v>
      </c>
      <c r="C16" s="39" t="s">
        <v>511</v>
      </c>
      <c r="D16" s="39">
        <v>3</v>
      </c>
      <c r="E16" s="40" t="s">
        <v>522</v>
      </c>
      <c r="F16" s="40" t="s">
        <v>1497</v>
      </c>
      <c r="G16" s="40" t="s">
        <v>1498</v>
      </c>
      <c r="H16" s="40" t="s">
        <v>1499</v>
      </c>
      <c r="I16" s="40" t="s">
        <v>525</v>
      </c>
      <c r="J16" s="40" t="s">
        <v>1046</v>
      </c>
      <c r="K16" s="40" t="s">
        <v>1491</v>
      </c>
      <c r="L16" s="41" t="s">
        <v>1033</v>
      </c>
      <c r="M16" s="42">
        <v>46311</v>
      </c>
      <c r="N16" s="40" t="s">
        <v>1480</v>
      </c>
    </row>
    <row r="17" spans="2:14" ht="64.95" customHeight="1" x14ac:dyDescent="0.3">
      <c r="B17" s="33" t="s">
        <v>1500</v>
      </c>
      <c r="C17" s="34" t="s">
        <v>526</v>
      </c>
      <c r="D17" s="34">
        <v>1</v>
      </c>
      <c r="E17" s="35" t="s">
        <v>529</v>
      </c>
      <c r="F17" s="35" t="s">
        <v>1501</v>
      </c>
      <c r="G17" s="35" t="s">
        <v>1502</v>
      </c>
      <c r="H17" s="35" t="s">
        <v>1503</v>
      </c>
      <c r="I17" s="35" t="s">
        <v>532</v>
      </c>
      <c r="J17" s="35" t="s">
        <v>1046</v>
      </c>
      <c r="K17" s="35" t="s">
        <v>1504</v>
      </c>
      <c r="L17" s="36" t="s">
        <v>1033</v>
      </c>
      <c r="M17" s="37">
        <v>46311</v>
      </c>
      <c r="N17" s="35" t="s">
        <v>1480</v>
      </c>
    </row>
    <row r="18" spans="2:14" ht="64.95" customHeight="1" x14ac:dyDescent="0.3">
      <c r="B18" s="38" t="s">
        <v>1505</v>
      </c>
      <c r="C18" s="39" t="s">
        <v>526</v>
      </c>
      <c r="D18" s="39">
        <v>2</v>
      </c>
      <c r="E18" s="40" t="s">
        <v>533</v>
      </c>
      <c r="F18" s="40" t="s">
        <v>1506</v>
      </c>
      <c r="G18" s="40" t="s">
        <v>1507</v>
      </c>
      <c r="H18" s="40" t="s">
        <v>1508</v>
      </c>
      <c r="I18" s="40" t="s">
        <v>536</v>
      </c>
      <c r="J18" s="40" t="s">
        <v>1046</v>
      </c>
      <c r="K18" s="40" t="s">
        <v>1504</v>
      </c>
      <c r="L18" s="41" t="s">
        <v>1033</v>
      </c>
      <c r="M18" s="42">
        <v>46311</v>
      </c>
      <c r="N18" s="40" t="s">
        <v>1480</v>
      </c>
    </row>
    <row r="19" spans="2:14" ht="64.95" customHeight="1" x14ac:dyDescent="0.3">
      <c r="B19" s="33" t="s">
        <v>1509</v>
      </c>
      <c r="C19" s="34" t="s">
        <v>526</v>
      </c>
      <c r="D19" s="34">
        <v>3</v>
      </c>
      <c r="E19" s="35" t="s">
        <v>537</v>
      </c>
      <c r="F19" s="35" t="s">
        <v>1510</v>
      </c>
      <c r="G19" s="35" t="s">
        <v>1511</v>
      </c>
      <c r="H19" s="35" t="s">
        <v>1512</v>
      </c>
      <c r="I19" s="35" t="s">
        <v>540</v>
      </c>
      <c r="J19" s="35" t="s">
        <v>1046</v>
      </c>
      <c r="K19" s="35" t="s">
        <v>1504</v>
      </c>
      <c r="L19" s="36" t="s">
        <v>1033</v>
      </c>
      <c r="M19" s="37">
        <v>46311</v>
      </c>
      <c r="N19" s="35" t="s">
        <v>1480</v>
      </c>
    </row>
    <row r="20" spans="2:14" ht="64.95" customHeight="1" x14ac:dyDescent="0.3">
      <c r="B20" s="38" t="s">
        <v>1513</v>
      </c>
      <c r="C20" s="39" t="s">
        <v>541</v>
      </c>
      <c r="D20" s="39">
        <v>1</v>
      </c>
      <c r="E20" s="40" t="s">
        <v>544</v>
      </c>
      <c r="F20" s="40" t="s">
        <v>1514</v>
      </c>
      <c r="G20" s="40" t="s">
        <v>1515</v>
      </c>
      <c r="H20" s="40" t="s">
        <v>1516</v>
      </c>
      <c r="I20" s="40" t="s">
        <v>547</v>
      </c>
      <c r="J20" s="40" t="s">
        <v>1046</v>
      </c>
      <c r="K20" s="40" t="s">
        <v>1517</v>
      </c>
      <c r="L20" s="41" t="s">
        <v>1033</v>
      </c>
      <c r="M20" s="42">
        <v>46311</v>
      </c>
      <c r="N20" s="40" t="s">
        <v>1480</v>
      </c>
    </row>
    <row r="21" spans="2:14" ht="64.95" customHeight="1" x14ac:dyDescent="0.3">
      <c r="B21" s="33" t="s">
        <v>1518</v>
      </c>
      <c r="C21" s="34" t="s">
        <v>541</v>
      </c>
      <c r="D21" s="34">
        <v>2</v>
      </c>
      <c r="E21" s="35" t="s">
        <v>548</v>
      </c>
      <c r="F21" s="35" t="s">
        <v>1519</v>
      </c>
      <c r="G21" s="35" t="s">
        <v>1520</v>
      </c>
      <c r="H21" s="35" t="s">
        <v>1521</v>
      </c>
      <c r="I21" s="35" t="s">
        <v>551</v>
      </c>
      <c r="J21" s="35" t="s">
        <v>1046</v>
      </c>
      <c r="K21" s="35" t="s">
        <v>1517</v>
      </c>
      <c r="L21" s="36" t="s">
        <v>1033</v>
      </c>
      <c r="M21" s="37">
        <v>46311</v>
      </c>
      <c r="N21" s="35" t="s">
        <v>1480</v>
      </c>
    </row>
    <row r="22" spans="2:14" ht="64.95" customHeight="1" x14ac:dyDescent="0.3">
      <c r="B22" s="38" t="s">
        <v>1522</v>
      </c>
      <c r="C22" s="39" t="s">
        <v>541</v>
      </c>
      <c r="D22" s="39">
        <v>3</v>
      </c>
      <c r="E22" s="40" t="s">
        <v>552</v>
      </c>
      <c r="F22" s="40" t="s">
        <v>1523</v>
      </c>
      <c r="G22" s="40" t="s">
        <v>1524</v>
      </c>
      <c r="H22" s="40" t="s">
        <v>1525</v>
      </c>
      <c r="I22" s="40" t="s">
        <v>555</v>
      </c>
      <c r="J22" s="40" t="s">
        <v>1046</v>
      </c>
      <c r="K22" s="40" t="s">
        <v>1517</v>
      </c>
      <c r="L22" s="41" t="s">
        <v>1033</v>
      </c>
      <c r="M22" s="42">
        <v>46311</v>
      </c>
      <c r="N22" s="40" t="s">
        <v>1480</v>
      </c>
    </row>
    <row r="23" spans="2:14" ht="60" customHeight="1" x14ac:dyDescent="0.3">
      <c r="B23" s="33" t="s">
        <v>1526</v>
      </c>
      <c r="C23" s="34" t="s">
        <v>556</v>
      </c>
      <c r="D23" s="34">
        <v>1</v>
      </c>
      <c r="E23" s="35" t="s">
        <v>559</v>
      </c>
      <c r="F23" s="35" t="s">
        <v>1527</v>
      </c>
      <c r="G23" s="35" t="s">
        <v>1528</v>
      </c>
      <c r="H23" s="35" t="s">
        <v>1529</v>
      </c>
      <c r="I23" s="35" t="s">
        <v>561</v>
      </c>
      <c r="J23" s="35" t="s">
        <v>1205</v>
      </c>
      <c r="K23" s="35" t="s">
        <v>1530</v>
      </c>
      <c r="L23" s="36" t="s">
        <v>1033</v>
      </c>
      <c r="M23" s="37">
        <v>46311</v>
      </c>
      <c r="N23" s="35" t="s">
        <v>1480</v>
      </c>
    </row>
    <row r="24" spans="2:14" ht="64.95" customHeight="1" x14ac:dyDescent="0.3">
      <c r="B24" s="38" t="s">
        <v>1531</v>
      </c>
      <c r="C24" s="39" t="s">
        <v>556</v>
      </c>
      <c r="D24" s="39">
        <v>2</v>
      </c>
      <c r="E24" s="40" t="s">
        <v>562</v>
      </c>
      <c r="F24" s="40" t="s">
        <v>1532</v>
      </c>
      <c r="G24" s="40" t="s">
        <v>1533</v>
      </c>
      <c r="H24" s="40" t="s">
        <v>1534</v>
      </c>
      <c r="I24" s="40" t="s">
        <v>564</v>
      </c>
      <c r="J24" s="40" t="s">
        <v>1205</v>
      </c>
      <c r="K24" s="40" t="s">
        <v>1530</v>
      </c>
      <c r="L24" s="41" t="s">
        <v>1033</v>
      </c>
      <c r="M24" s="42">
        <v>46311</v>
      </c>
      <c r="N24" s="40" t="s">
        <v>1480</v>
      </c>
    </row>
    <row r="25" spans="2:14" ht="64.95" customHeight="1" x14ac:dyDescent="0.3">
      <c r="B25" s="33" t="s">
        <v>1535</v>
      </c>
      <c r="C25" s="34" t="s">
        <v>556</v>
      </c>
      <c r="D25" s="34">
        <v>3</v>
      </c>
      <c r="E25" s="35" t="s">
        <v>565</v>
      </c>
      <c r="F25" s="35" t="s">
        <v>1536</v>
      </c>
      <c r="G25" s="35" t="s">
        <v>1537</v>
      </c>
      <c r="H25" s="35" t="s">
        <v>1538</v>
      </c>
      <c r="I25" s="35" t="s">
        <v>567</v>
      </c>
      <c r="J25" s="35" t="s">
        <v>1205</v>
      </c>
      <c r="K25" s="35" t="s">
        <v>1530</v>
      </c>
      <c r="L25" s="36" t="s">
        <v>1033</v>
      </c>
      <c r="M25" s="37">
        <v>46311</v>
      </c>
      <c r="N25" s="35" t="s">
        <v>1480</v>
      </c>
    </row>
    <row r="26" spans="2:14" ht="64.95" customHeight="1" x14ac:dyDescent="0.3">
      <c r="B26" s="38" t="s">
        <v>1539</v>
      </c>
      <c r="C26" s="39" t="s">
        <v>568</v>
      </c>
      <c r="D26" s="39">
        <v>1</v>
      </c>
      <c r="E26" s="40" t="s">
        <v>571</v>
      </c>
      <c r="F26" s="40" t="s">
        <v>1540</v>
      </c>
      <c r="G26" s="40" t="s">
        <v>1541</v>
      </c>
      <c r="H26" s="40" t="s">
        <v>1542</v>
      </c>
      <c r="I26" s="40" t="s">
        <v>574</v>
      </c>
      <c r="J26" s="40" t="s">
        <v>1205</v>
      </c>
      <c r="K26" s="40" t="s">
        <v>1543</v>
      </c>
      <c r="L26" s="41" t="s">
        <v>1033</v>
      </c>
      <c r="M26" s="42">
        <v>46311</v>
      </c>
      <c r="N26" s="40" t="s">
        <v>1480</v>
      </c>
    </row>
    <row r="27" spans="2:14" ht="64.95" customHeight="1" x14ac:dyDescent="0.3">
      <c r="B27" s="33" t="s">
        <v>1544</v>
      </c>
      <c r="C27" s="34" t="s">
        <v>568</v>
      </c>
      <c r="D27" s="34">
        <v>2</v>
      </c>
      <c r="E27" s="35" t="s">
        <v>575</v>
      </c>
      <c r="F27" s="35" t="s">
        <v>1545</v>
      </c>
      <c r="G27" s="35" t="s">
        <v>1546</v>
      </c>
      <c r="H27" s="35" t="s">
        <v>1547</v>
      </c>
      <c r="I27" s="35" t="s">
        <v>578</v>
      </c>
      <c r="J27" s="35" t="s">
        <v>1205</v>
      </c>
      <c r="K27" s="35" t="s">
        <v>1543</v>
      </c>
      <c r="L27" s="36" t="s">
        <v>1033</v>
      </c>
      <c r="M27" s="37">
        <v>46311</v>
      </c>
      <c r="N27" s="35" t="s">
        <v>1480</v>
      </c>
    </row>
    <row r="28" spans="2:14" ht="64.95" customHeight="1" x14ac:dyDescent="0.3">
      <c r="B28" s="38" t="s">
        <v>1548</v>
      </c>
      <c r="C28" s="39" t="s">
        <v>568</v>
      </c>
      <c r="D28" s="39">
        <v>3</v>
      </c>
      <c r="E28" s="40" t="s">
        <v>579</v>
      </c>
      <c r="F28" s="40" t="s">
        <v>1549</v>
      </c>
      <c r="G28" s="40" t="s">
        <v>1550</v>
      </c>
      <c r="H28" s="40" t="s">
        <v>1551</v>
      </c>
      <c r="I28" s="40" t="s">
        <v>582</v>
      </c>
      <c r="J28" s="40" t="s">
        <v>1205</v>
      </c>
      <c r="K28" s="40" t="s">
        <v>1543</v>
      </c>
      <c r="L28" s="41" t="s">
        <v>1033</v>
      </c>
      <c r="M28" s="42">
        <v>46311</v>
      </c>
      <c r="N28" s="40" t="s">
        <v>1480</v>
      </c>
    </row>
    <row r="29" spans="2:14" ht="64.95" customHeight="1" x14ac:dyDescent="0.3">
      <c r="B29" s="33" t="s">
        <v>1552</v>
      </c>
      <c r="C29" s="34" t="s">
        <v>583</v>
      </c>
      <c r="D29" s="34">
        <v>1</v>
      </c>
      <c r="E29" s="35" t="s">
        <v>586</v>
      </c>
      <c r="F29" s="35" t="s">
        <v>1553</v>
      </c>
      <c r="G29" s="35" t="s">
        <v>1554</v>
      </c>
      <c r="H29" s="35" t="s">
        <v>1555</v>
      </c>
      <c r="I29" s="35" t="s">
        <v>589</v>
      </c>
      <c r="J29" s="35" t="s">
        <v>1205</v>
      </c>
      <c r="K29" s="35" t="s">
        <v>1556</v>
      </c>
      <c r="L29" s="36" t="s">
        <v>1033</v>
      </c>
      <c r="M29" s="37">
        <v>46311</v>
      </c>
      <c r="N29" s="35" t="s">
        <v>1480</v>
      </c>
    </row>
    <row r="30" spans="2:14" ht="64.95" customHeight="1" x14ac:dyDescent="0.3">
      <c r="B30" s="38" t="s">
        <v>1557</v>
      </c>
      <c r="C30" s="39" t="s">
        <v>583</v>
      </c>
      <c r="D30" s="39">
        <v>2</v>
      </c>
      <c r="E30" s="40" t="s">
        <v>590</v>
      </c>
      <c r="F30" s="40" t="s">
        <v>1558</v>
      </c>
      <c r="G30" s="40" t="s">
        <v>1559</v>
      </c>
      <c r="H30" s="40" t="s">
        <v>1560</v>
      </c>
      <c r="I30" s="40" t="s">
        <v>593</v>
      </c>
      <c r="J30" s="40" t="s">
        <v>1205</v>
      </c>
      <c r="K30" s="40" t="s">
        <v>1556</v>
      </c>
      <c r="L30" s="41" t="s">
        <v>1033</v>
      </c>
      <c r="M30" s="42">
        <v>46311</v>
      </c>
      <c r="N30" s="40" t="s">
        <v>1480</v>
      </c>
    </row>
    <row r="31" spans="2:14" ht="64.95" customHeight="1" x14ac:dyDescent="0.3">
      <c r="B31" s="33" t="s">
        <v>1561</v>
      </c>
      <c r="C31" s="34" t="s">
        <v>583</v>
      </c>
      <c r="D31" s="34">
        <v>3</v>
      </c>
      <c r="E31" s="35" t="s">
        <v>594</v>
      </c>
      <c r="F31" s="35" t="s">
        <v>1562</v>
      </c>
      <c r="G31" s="35" t="s">
        <v>1520</v>
      </c>
      <c r="H31" s="35" t="s">
        <v>1563</v>
      </c>
      <c r="I31" s="35" t="s">
        <v>595</v>
      </c>
      <c r="J31" s="35" t="s">
        <v>1205</v>
      </c>
      <c r="K31" s="35" t="s">
        <v>1556</v>
      </c>
      <c r="L31" s="36" t="s">
        <v>1033</v>
      </c>
      <c r="M31" s="37">
        <v>46311</v>
      </c>
      <c r="N31" s="35" t="s">
        <v>1480</v>
      </c>
    </row>
    <row r="32" spans="2:14" ht="64.95" customHeight="1" x14ac:dyDescent="0.3">
      <c r="B32" s="38" t="s">
        <v>1564</v>
      </c>
      <c r="C32" s="39" t="s">
        <v>596</v>
      </c>
      <c r="D32" s="39">
        <v>1</v>
      </c>
      <c r="E32" s="40" t="s">
        <v>599</v>
      </c>
      <c r="F32" s="40" t="s">
        <v>1565</v>
      </c>
      <c r="G32" s="40" t="s">
        <v>1566</v>
      </c>
      <c r="H32" s="40" t="s">
        <v>1567</v>
      </c>
      <c r="I32" s="40" t="s">
        <v>602</v>
      </c>
      <c r="J32" s="40" t="s">
        <v>1205</v>
      </c>
      <c r="K32" s="40" t="s">
        <v>1568</v>
      </c>
      <c r="L32" s="41" t="s">
        <v>1033</v>
      </c>
      <c r="M32" s="42">
        <v>46311</v>
      </c>
      <c r="N32" s="40" t="s">
        <v>1480</v>
      </c>
    </row>
    <row r="33" spans="2:14" ht="64.95" customHeight="1" x14ac:dyDescent="0.3">
      <c r="B33" s="33" t="s">
        <v>1569</v>
      </c>
      <c r="C33" s="34" t="s">
        <v>596</v>
      </c>
      <c r="D33" s="34">
        <v>2</v>
      </c>
      <c r="E33" s="35" t="s">
        <v>603</v>
      </c>
      <c r="F33" s="35" t="s">
        <v>1570</v>
      </c>
      <c r="G33" s="35" t="s">
        <v>1571</v>
      </c>
      <c r="H33" s="35" t="s">
        <v>1572</v>
      </c>
      <c r="I33" s="35" t="s">
        <v>605</v>
      </c>
      <c r="J33" s="35" t="s">
        <v>1205</v>
      </c>
      <c r="K33" s="35" t="s">
        <v>1568</v>
      </c>
      <c r="L33" s="36" t="s">
        <v>1033</v>
      </c>
      <c r="M33" s="37">
        <v>46311</v>
      </c>
      <c r="N33" s="35" t="s">
        <v>1480</v>
      </c>
    </row>
    <row r="34" spans="2:14" ht="64.95" customHeight="1" x14ac:dyDescent="0.3">
      <c r="B34" s="38" t="s">
        <v>1573</v>
      </c>
      <c r="C34" s="39" t="s">
        <v>596</v>
      </c>
      <c r="D34" s="39">
        <v>3</v>
      </c>
      <c r="E34" s="40" t="s">
        <v>606</v>
      </c>
      <c r="F34" s="40" t="s">
        <v>1574</v>
      </c>
      <c r="G34" s="40" t="s">
        <v>1575</v>
      </c>
      <c r="H34" s="40" t="s">
        <v>1576</v>
      </c>
      <c r="I34" s="40" t="s">
        <v>609</v>
      </c>
      <c r="J34" s="40" t="s">
        <v>1205</v>
      </c>
      <c r="K34" s="40" t="s">
        <v>1568</v>
      </c>
      <c r="L34" s="41" t="s">
        <v>1033</v>
      </c>
      <c r="M34" s="42">
        <v>46311</v>
      </c>
      <c r="N34" s="40" t="s">
        <v>1480</v>
      </c>
    </row>
    <row r="35" spans="2:14" ht="60" customHeight="1" x14ac:dyDescent="0.3">
      <c r="B35" s="33" t="s">
        <v>1577</v>
      </c>
      <c r="C35" s="34" t="s">
        <v>1578</v>
      </c>
      <c r="D35" s="34" t="s">
        <v>1579</v>
      </c>
      <c r="E35" s="35" t="s">
        <v>1580</v>
      </c>
      <c r="F35" s="35" t="s">
        <v>1581</v>
      </c>
      <c r="G35" s="35" t="s">
        <v>1582</v>
      </c>
      <c r="H35" s="35" t="s">
        <v>1583</v>
      </c>
      <c r="I35" s="35" t="s">
        <v>1584</v>
      </c>
      <c r="J35" s="35" t="s">
        <v>1046</v>
      </c>
      <c r="K35" s="35" t="s">
        <v>1585</v>
      </c>
      <c r="L35" s="36" t="s">
        <v>1033</v>
      </c>
      <c r="M35" s="37">
        <v>46311</v>
      </c>
      <c r="N35" s="35" t="s">
        <v>1586</v>
      </c>
    </row>
    <row r="36" spans="2:14" ht="60" customHeight="1" x14ac:dyDescent="0.3">
      <c r="B36" s="38" t="s">
        <v>1587</v>
      </c>
      <c r="C36" s="39" t="s">
        <v>1578</v>
      </c>
      <c r="D36" s="39" t="s">
        <v>1579</v>
      </c>
      <c r="E36" s="40" t="s">
        <v>1588</v>
      </c>
      <c r="F36" s="40" t="s">
        <v>1589</v>
      </c>
      <c r="G36" s="40" t="s">
        <v>1590</v>
      </c>
      <c r="H36" s="40" t="s">
        <v>1591</v>
      </c>
      <c r="I36" s="40" t="s">
        <v>1592</v>
      </c>
      <c r="J36" s="40" t="s">
        <v>1046</v>
      </c>
      <c r="K36" s="40" t="s">
        <v>1585</v>
      </c>
      <c r="L36" s="41" t="s">
        <v>1033</v>
      </c>
      <c r="M36" s="42">
        <v>46311</v>
      </c>
      <c r="N36" s="40" t="s">
        <v>1586</v>
      </c>
    </row>
    <row r="37" spans="2:14" ht="60" customHeight="1" x14ac:dyDescent="0.3">
      <c r="B37" s="33" t="s">
        <v>1593</v>
      </c>
      <c r="C37" s="34" t="s">
        <v>1578</v>
      </c>
      <c r="D37" s="34" t="s">
        <v>1579</v>
      </c>
      <c r="E37" s="35" t="s">
        <v>1594</v>
      </c>
      <c r="F37" s="35" t="s">
        <v>1595</v>
      </c>
      <c r="G37" s="35" t="s">
        <v>1596</v>
      </c>
      <c r="H37" s="35" t="s">
        <v>1597</v>
      </c>
      <c r="I37" s="35" t="s">
        <v>1598</v>
      </c>
      <c r="J37" s="35" t="s">
        <v>1046</v>
      </c>
      <c r="K37" s="35" t="s">
        <v>1599</v>
      </c>
      <c r="L37" s="36" t="s">
        <v>1033</v>
      </c>
      <c r="M37" s="37">
        <v>46311</v>
      </c>
      <c r="N37" s="35" t="s">
        <v>1586</v>
      </c>
    </row>
    <row r="38" spans="2:14" ht="60" customHeight="1" x14ac:dyDescent="0.3">
      <c r="B38" s="38" t="s">
        <v>1600</v>
      </c>
      <c r="C38" s="39" t="s">
        <v>1601</v>
      </c>
      <c r="D38" s="39" t="s">
        <v>1579</v>
      </c>
      <c r="E38" s="40" t="s">
        <v>1602</v>
      </c>
      <c r="F38" s="40" t="s">
        <v>1603</v>
      </c>
      <c r="G38" s="40" t="s">
        <v>1604</v>
      </c>
      <c r="H38" s="40" t="s">
        <v>1605</v>
      </c>
      <c r="I38" s="40" t="s">
        <v>1606</v>
      </c>
      <c r="J38" s="40" t="s">
        <v>1046</v>
      </c>
      <c r="K38" s="40" t="s">
        <v>1607</v>
      </c>
      <c r="L38" s="41" t="s">
        <v>1033</v>
      </c>
      <c r="M38" s="42">
        <v>46311</v>
      </c>
      <c r="N38" s="40" t="s">
        <v>1586</v>
      </c>
    </row>
  </sheetData>
  <autoFilter ref="B4:N38" xr:uid="{00000000-0009-0000-0000-000006000000}"/>
  <mergeCells count="1">
    <mergeCell ref="B2:N2"/>
  </mergeCells>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H8"/>
  <sheetViews>
    <sheetView workbookViewId="0"/>
  </sheetViews>
  <sheetFormatPr baseColWidth="10" defaultColWidth="8.88671875" defaultRowHeight="14.4" x14ac:dyDescent="0.3"/>
  <cols>
    <col min="1" max="1" width="1.44140625" customWidth="1"/>
    <col min="2" max="2" width="14" customWidth="1"/>
    <col min="3" max="3" width="58" customWidth="1"/>
    <col min="4" max="6" width="12" customWidth="1"/>
    <col min="7" max="7" width="14" customWidth="1"/>
    <col min="8" max="8" width="12" customWidth="1"/>
  </cols>
  <sheetData>
    <row r="1" spans="2:8" ht="17.399999999999999" x14ac:dyDescent="0.3">
      <c r="B1" s="31" t="s">
        <v>1608</v>
      </c>
    </row>
    <row r="2" spans="2:8" x14ac:dyDescent="0.3">
      <c r="B2" s="45" t="s">
        <v>1609</v>
      </c>
    </row>
    <row r="4" spans="2:8" ht="26.4" x14ac:dyDescent="0.3">
      <c r="B4" s="32" t="s">
        <v>1610</v>
      </c>
      <c r="C4" s="32" t="s">
        <v>1611</v>
      </c>
      <c r="D4" s="32" t="s">
        <v>1016</v>
      </c>
      <c r="E4" s="32" t="s">
        <v>1612</v>
      </c>
      <c r="F4" s="32" t="s">
        <v>1613</v>
      </c>
      <c r="G4" s="32" t="s">
        <v>1614</v>
      </c>
      <c r="H4" s="32" t="s">
        <v>1615</v>
      </c>
    </row>
    <row r="5" spans="2:8" ht="24" customHeight="1" x14ac:dyDescent="0.3">
      <c r="B5" s="46" t="s">
        <v>1616</v>
      </c>
      <c r="C5" s="47" t="s">
        <v>1617</v>
      </c>
      <c r="D5" s="48">
        <v>24</v>
      </c>
      <c r="E5" s="48">
        <f>COUNTA('CDP-Sprint 1'!B5:B76)</f>
        <v>72</v>
      </c>
      <c r="F5" s="48">
        <f>COUNTIF('CDP-Sprint 1'!L5:L76,"Aprobado")</f>
        <v>71</v>
      </c>
      <c r="G5" s="48">
        <f>COUNTIF('CDP-Sprint 1'!L5:L76,"Aprobado con observación")</f>
        <v>1</v>
      </c>
      <c r="H5" s="49">
        <f>IF(E5=0,0,(F5+G5)/E5)</f>
        <v>1</v>
      </c>
    </row>
    <row r="6" spans="2:8" ht="24" customHeight="1" x14ac:dyDescent="0.3">
      <c r="B6" s="46" t="s">
        <v>1618</v>
      </c>
      <c r="C6" s="47" t="s">
        <v>1619</v>
      </c>
      <c r="D6" s="48">
        <v>8</v>
      </c>
      <c r="E6" s="48">
        <f>COUNTA('CDP-Sprint 2'!B5:B28)</f>
        <v>24</v>
      </c>
      <c r="F6" s="48">
        <f>COUNTIF('CDP-Sprint 2'!L5:L28,"Aprobado")</f>
        <v>24</v>
      </c>
      <c r="G6" s="48">
        <f>COUNTIF('CDP-Sprint 2'!L5:L28,"Aprobado con observación")</f>
        <v>0</v>
      </c>
      <c r="H6" s="49">
        <f>IF(E6=0,0,(F6+G6)/E6)</f>
        <v>1</v>
      </c>
    </row>
    <row r="7" spans="2:8" ht="24" customHeight="1" x14ac:dyDescent="0.3">
      <c r="B7" s="46" t="s">
        <v>1620</v>
      </c>
      <c r="C7" s="47" t="s">
        <v>1621</v>
      </c>
      <c r="D7" s="48">
        <v>10</v>
      </c>
      <c r="E7" s="48">
        <f>COUNTA('CDP-Sprint 3'!B5:B38)</f>
        <v>34</v>
      </c>
      <c r="F7" s="48">
        <f>COUNTIF('CDP-Sprint 3'!L5:L38,"Aprobado")</f>
        <v>33</v>
      </c>
      <c r="G7" s="48">
        <f>COUNTIF('CDP-Sprint 3'!L5:L38,"Aprobado con observación")</f>
        <v>1</v>
      </c>
      <c r="H7" s="49">
        <f>IF(E7=0,0,(F7+G7)/E7)</f>
        <v>1</v>
      </c>
    </row>
    <row r="8" spans="2:8" x14ac:dyDescent="0.3">
      <c r="B8" s="50" t="s">
        <v>942</v>
      </c>
      <c r="C8" s="51" t="s">
        <v>1622</v>
      </c>
      <c r="D8" s="50">
        <f>SUM(D5:D7)</f>
        <v>42</v>
      </c>
      <c r="E8" s="50">
        <f>SUM(E5:E7)</f>
        <v>130</v>
      </c>
      <c r="F8" s="50">
        <f>SUM(F5:F7)</f>
        <v>128</v>
      </c>
      <c r="G8" s="50">
        <f>SUM(G5:G7)</f>
        <v>2</v>
      </c>
      <c r="H8" s="52">
        <f>IF(E8=0,0,(F8+G8)/E8)</f>
        <v>1</v>
      </c>
    </row>
  </sheetData>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Historias de Usuario</vt:lpstr>
      <vt:lpstr>Épicas</vt:lpstr>
      <vt:lpstr>Relación Front-Back</vt:lpstr>
      <vt:lpstr>Instructivo</vt:lpstr>
      <vt:lpstr>CDP-Sprint 1</vt:lpstr>
      <vt:lpstr>CDP-Sprint 2</vt:lpstr>
      <vt:lpstr>CDP-Sprint 3</vt:lpstr>
      <vt:lpstr>Resumen Sprints</vt:lpstr>
      <vt:lpstr>'Historias de Usuario'!Títulos_a_imprimir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
  <dcterms:created xsi:type="dcterms:W3CDTF">2026-09-10T03:43:43Z</dcterms:created>
  <dcterms:modified xsi:type="dcterms:W3CDTF">2026-10-17T23:38:49Z</dcterms:modified>
  <dc:language>en-US</dc:language>
</cp:coreProperties>
</file>